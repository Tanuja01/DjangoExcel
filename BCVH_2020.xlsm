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Sô_la_mviê_cNa_y" defaultThemeVersion="166925"/>
  <mc:AlternateContent xmlns:mc="http://schemas.openxmlformats.org/markup-compatibility/2006">
    <mc:Choice Requires="x15">
      <x15ac:absPath xmlns:x15ac="http://schemas.microsoft.com/office/spreadsheetml/2010/11/ac" url="D:\CONG VIEC\5. BAO CAO\BC CUA NHA MAY\1.0 BÁO CÁO NGÀY\2020\Mar\16\"/>
    </mc:Choice>
  </mc:AlternateContent>
  <xr:revisionPtr revIDLastSave="0" documentId="13_ncr:1_{41F7393B-B001-4AF6-80C1-330A30487E50}" xr6:coauthVersionLast="45" xr6:coauthVersionMax="45" xr10:uidLastSave="{00000000-0000-0000-0000-000000000000}"/>
  <bookViews>
    <workbookView xWindow="-108" yWindow="-108" windowWidth="23256" windowHeight="12576" xr2:uid="{39FCB59B-3EE0-421A-A206-943DDB85379A}"/>
  </bookViews>
  <sheets>
    <sheet name="Data" sheetId="4" r:id="rId1"/>
    <sheet name="Data chung" sheetId="8" r:id="rId2"/>
  </sheets>
  <functionGroups builtInGroupCount="19"/>
  <externalReferences>
    <externalReference r:id="rId3"/>
    <externalReference r:id="rId4"/>
  </externalReferences>
  <definedNames>
    <definedName name="_xlnm.Print_Titles" localSheetId="0">Data!$8:$8</definedName>
    <definedName name="_xlnm.Print_Area" localSheetId="0">Data!$A$1:$CG$42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0" i="4" l="1"/>
  <c r="R11" i="4"/>
  <c r="R12" i="4"/>
  <c r="R14" i="4"/>
  <c r="R15" i="4"/>
  <c r="R16" i="4"/>
  <c r="R18" i="4"/>
  <c r="R23" i="4"/>
  <c r="R24" i="4"/>
  <c r="R26" i="4"/>
  <c r="R27" i="4"/>
  <c r="R19" i="4"/>
  <c r="R25" i="4" l="1"/>
  <c r="R17" i="4"/>
  <c r="R13" i="4"/>
  <c r="F21" i="4" l="1"/>
  <c r="F28" i="4"/>
  <c r="F30" i="4" l="1"/>
  <c r="CB20" i="4"/>
  <c r="L28" i="4" l="1"/>
  <c r="L21" i="4"/>
  <c r="I28" i="4"/>
  <c r="I21" i="4"/>
  <c r="M18" i="4"/>
  <c r="J18" i="4"/>
  <c r="I30" i="4" l="1"/>
  <c r="CC18" i="4"/>
  <c r="CE18" i="4"/>
  <c r="AF21" i="4" l="1"/>
  <c r="AD21" i="4"/>
  <c r="AC21" i="4"/>
  <c r="AA21" i="4"/>
  <c r="Z21" i="4"/>
  <c r="X21" i="4"/>
  <c r="W21" i="4"/>
  <c r="U21" i="4"/>
  <c r="T21" i="4"/>
  <c r="R21" i="4"/>
  <c r="Q21" i="4"/>
  <c r="O21" i="4"/>
  <c r="N21" i="4"/>
  <c r="K21" i="4"/>
  <c r="H21" i="4"/>
  <c r="BZ21" i="4"/>
  <c r="BY21" i="4"/>
  <c r="BW21" i="4"/>
  <c r="BV21" i="4"/>
  <c r="BT21" i="4"/>
  <c r="BS21" i="4"/>
  <c r="BQ21" i="4"/>
  <c r="BP21" i="4"/>
  <c r="BN21" i="4"/>
  <c r="BM21" i="4"/>
  <c r="BK21" i="4"/>
  <c r="BJ21" i="4"/>
  <c r="BH21" i="4"/>
  <c r="BG21" i="4"/>
  <c r="BE21" i="4"/>
  <c r="BD21" i="4"/>
  <c r="AS21" i="4"/>
  <c r="AU21" i="4"/>
  <c r="AV21" i="4"/>
  <c r="AY21" i="4"/>
  <c r="AX21" i="4"/>
  <c r="AR21" i="4"/>
  <c r="AP21" i="4"/>
  <c r="AO28" i="4"/>
  <c r="AO21" i="4"/>
  <c r="AM21" i="4"/>
  <c r="AL21" i="4"/>
  <c r="AJ21" i="4"/>
  <c r="AI21" i="4"/>
  <c r="AG21" i="4"/>
  <c r="P21" i="4" l="1"/>
  <c r="S21" i="4"/>
  <c r="M21" i="4"/>
  <c r="J21" i="4"/>
  <c r="C42" i="4"/>
  <c r="E42" i="4"/>
  <c r="J10" i="4" l="1"/>
  <c r="A11" i="4" l="1"/>
  <c r="A12" i="4" s="1"/>
  <c r="A13" i="4" s="1"/>
  <c r="A14" i="4" s="1"/>
  <c r="A15" i="4" s="1"/>
  <c r="A16" i="4" s="1"/>
  <c r="A17" i="4" s="1"/>
  <c r="A18" i="4" s="1"/>
  <c r="A19" i="4" s="1"/>
  <c r="A20" i="4" l="1"/>
  <c r="A23" i="4"/>
  <c r="A24" i="4" s="1"/>
  <c r="A25" i="4" s="1"/>
  <c r="A26" i="4" s="1"/>
  <c r="A27" i="4" s="1"/>
  <c r="CD24" i="4"/>
  <c r="CE24" i="4"/>
  <c r="CD25" i="4"/>
  <c r="CE25" i="4"/>
  <c r="CD26" i="4"/>
  <c r="CE26" i="4"/>
  <c r="CD27" i="4"/>
  <c r="CE27" i="4"/>
  <c r="CE23" i="4"/>
  <c r="CD23" i="4"/>
  <c r="CD11" i="4"/>
  <c r="CE11" i="4"/>
  <c r="CD12" i="4"/>
  <c r="CE12" i="4"/>
  <c r="CD13" i="4"/>
  <c r="CE13" i="4"/>
  <c r="CD14" i="4"/>
  <c r="CE14" i="4"/>
  <c r="CD15" i="4"/>
  <c r="CE15" i="4"/>
  <c r="CD16" i="4"/>
  <c r="CE16" i="4"/>
  <c r="CD17" i="4"/>
  <c r="CE17" i="4"/>
  <c r="CD18" i="4"/>
  <c r="CD19" i="4"/>
  <c r="CE19" i="4"/>
  <c r="CD20" i="4"/>
  <c r="CE10" i="4"/>
  <c r="CD10" i="4"/>
  <c r="BZ28" i="4"/>
  <c r="BZ30" i="4" s="1"/>
  <c r="BY28" i="4"/>
  <c r="BW28" i="4"/>
  <c r="BV28" i="4"/>
  <c r="CA27" i="4"/>
  <c r="BX27" i="4"/>
  <c r="CA26" i="4"/>
  <c r="BX26" i="4"/>
  <c r="CA25" i="4"/>
  <c r="BX25" i="4"/>
  <c r="CA24" i="4"/>
  <c r="BX24" i="4"/>
  <c r="CA23" i="4"/>
  <c r="BX23" i="4"/>
  <c r="CA20" i="4"/>
  <c r="BX20" i="4"/>
  <c r="CA19" i="4"/>
  <c r="BX19" i="4"/>
  <c r="CA18" i="4"/>
  <c r="BX18" i="4"/>
  <c r="CA17" i="4"/>
  <c r="BX17" i="4"/>
  <c r="CA16" i="4"/>
  <c r="BX16" i="4"/>
  <c r="CA15" i="4"/>
  <c r="BX15" i="4"/>
  <c r="CA14" i="4"/>
  <c r="BX14" i="4"/>
  <c r="CA13" i="4"/>
  <c r="BX13" i="4"/>
  <c r="CA12" i="4"/>
  <c r="BX12" i="4"/>
  <c r="CA11" i="4"/>
  <c r="BX11" i="4"/>
  <c r="CA10" i="4"/>
  <c r="BX10" i="4"/>
  <c r="BT28" i="4"/>
  <c r="BT30" i="4" s="1"/>
  <c r="BS28" i="4"/>
  <c r="BQ28" i="4"/>
  <c r="BP28" i="4"/>
  <c r="BU27" i="4"/>
  <c r="BR27" i="4"/>
  <c r="BU26" i="4"/>
  <c r="BR26" i="4"/>
  <c r="BU25" i="4"/>
  <c r="BR25" i="4"/>
  <c r="BU24" i="4"/>
  <c r="BR24" i="4"/>
  <c r="BU23" i="4"/>
  <c r="BR23" i="4"/>
  <c r="BU20" i="4"/>
  <c r="BR20" i="4"/>
  <c r="BU19" i="4"/>
  <c r="BR19" i="4"/>
  <c r="BU18" i="4"/>
  <c r="BR18" i="4"/>
  <c r="BU17" i="4"/>
  <c r="BR17" i="4"/>
  <c r="BU16" i="4"/>
  <c r="BR16" i="4"/>
  <c r="BU15" i="4"/>
  <c r="BR15" i="4"/>
  <c r="BU14" i="4"/>
  <c r="BR14" i="4"/>
  <c r="BU13" i="4"/>
  <c r="BR13" i="4"/>
  <c r="BU12" i="4"/>
  <c r="BR12" i="4"/>
  <c r="BU11" i="4"/>
  <c r="BR11" i="4"/>
  <c r="BU10" i="4"/>
  <c r="BR10" i="4"/>
  <c r="BN28" i="4"/>
  <c r="BN30" i="4" s="1"/>
  <c r="BM28" i="4"/>
  <c r="BK28" i="4"/>
  <c r="BJ28" i="4"/>
  <c r="BO27" i="4"/>
  <c r="BL27" i="4"/>
  <c r="BO26" i="4"/>
  <c r="BL26" i="4"/>
  <c r="BO25" i="4"/>
  <c r="BL25" i="4"/>
  <c r="BO24" i="4"/>
  <c r="BL24" i="4"/>
  <c r="BO23" i="4"/>
  <c r="BL23" i="4"/>
  <c r="BO20" i="4"/>
  <c r="BL20" i="4"/>
  <c r="BO19" i="4"/>
  <c r="BL19" i="4"/>
  <c r="BO18" i="4"/>
  <c r="BL18" i="4"/>
  <c r="BO17" i="4"/>
  <c r="BL17" i="4"/>
  <c r="BO16" i="4"/>
  <c r="BL16" i="4"/>
  <c r="BO15" i="4"/>
  <c r="BL15" i="4"/>
  <c r="BO14" i="4"/>
  <c r="BL14" i="4"/>
  <c r="BO13" i="4"/>
  <c r="BL13" i="4"/>
  <c r="BO12" i="4"/>
  <c r="BL12" i="4"/>
  <c r="BO11" i="4"/>
  <c r="BL11" i="4"/>
  <c r="BO10" i="4"/>
  <c r="BL10" i="4"/>
  <c r="BH28" i="4"/>
  <c r="BH30" i="4" s="1"/>
  <c r="BG28" i="4"/>
  <c r="BE28" i="4"/>
  <c r="BD28" i="4"/>
  <c r="BI27" i="4"/>
  <c r="BF27" i="4"/>
  <c r="BI26" i="4"/>
  <c r="BF26" i="4"/>
  <c r="BI25" i="4"/>
  <c r="BF25" i="4"/>
  <c r="BI24" i="4"/>
  <c r="BF24" i="4"/>
  <c r="BI23" i="4"/>
  <c r="BF23" i="4"/>
  <c r="BI20" i="4"/>
  <c r="BF20" i="4"/>
  <c r="BI19" i="4"/>
  <c r="BF19" i="4"/>
  <c r="BI18" i="4"/>
  <c r="BF18" i="4"/>
  <c r="BI17" i="4"/>
  <c r="BF17" i="4"/>
  <c r="BI16" i="4"/>
  <c r="BF16" i="4"/>
  <c r="BI15" i="4"/>
  <c r="BF15" i="4"/>
  <c r="BI14" i="4"/>
  <c r="BF14" i="4"/>
  <c r="BI13" i="4"/>
  <c r="BF13" i="4"/>
  <c r="BI12" i="4"/>
  <c r="BF12" i="4"/>
  <c r="BI11" i="4"/>
  <c r="BF11" i="4"/>
  <c r="BI10" i="4"/>
  <c r="BF10" i="4"/>
  <c r="BB28" i="4"/>
  <c r="BA28" i="4"/>
  <c r="AY28" i="4"/>
  <c r="AX28" i="4"/>
  <c r="BC27" i="4"/>
  <c r="AZ27" i="4"/>
  <c r="BC26" i="4"/>
  <c r="AZ26" i="4"/>
  <c r="BC25" i="4"/>
  <c r="AZ25" i="4"/>
  <c r="BC24" i="4"/>
  <c r="AZ24" i="4"/>
  <c r="BC23" i="4"/>
  <c r="AZ23" i="4"/>
  <c r="BB21" i="4"/>
  <c r="BA21" i="4"/>
  <c r="BC20" i="4"/>
  <c r="AZ20" i="4"/>
  <c r="BC19" i="4"/>
  <c r="AZ19" i="4"/>
  <c r="BC18" i="4"/>
  <c r="AZ18" i="4"/>
  <c r="BC17" i="4"/>
  <c r="AZ17" i="4"/>
  <c r="BC16" i="4"/>
  <c r="AZ16" i="4"/>
  <c r="BC15" i="4"/>
  <c r="AZ15" i="4"/>
  <c r="BC14" i="4"/>
  <c r="AZ14" i="4"/>
  <c r="BC13" i="4"/>
  <c r="AZ13" i="4"/>
  <c r="BC12" i="4"/>
  <c r="AZ12" i="4"/>
  <c r="BC11" i="4"/>
  <c r="AZ11" i="4"/>
  <c r="BC10" i="4"/>
  <c r="AZ10" i="4"/>
  <c r="AV28" i="4"/>
  <c r="AV30" i="4" s="1"/>
  <c r="AU28" i="4"/>
  <c r="AS28" i="4"/>
  <c r="AR28" i="4"/>
  <c r="AW27" i="4"/>
  <c r="AT27" i="4"/>
  <c r="AW26" i="4"/>
  <c r="AT26" i="4"/>
  <c r="AW25" i="4"/>
  <c r="AT25" i="4"/>
  <c r="AW24" i="4"/>
  <c r="AT24" i="4"/>
  <c r="AW23" i="4"/>
  <c r="AT23" i="4"/>
  <c r="AS30" i="4"/>
  <c r="AW20" i="4"/>
  <c r="AT20" i="4"/>
  <c r="AW19" i="4"/>
  <c r="AT19" i="4"/>
  <c r="AW18" i="4"/>
  <c r="AT18" i="4"/>
  <c r="AW17" i="4"/>
  <c r="AT17" i="4"/>
  <c r="AW16" i="4"/>
  <c r="AT16" i="4"/>
  <c r="AW15" i="4"/>
  <c r="AT15" i="4"/>
  <c r="AW14" i="4"/>
  <c r="AT14" i="4"/>
  <c r="AW13" i="4"/>
  <c r="AT13" i="4"/>
  <c r="AW12" i="4"/>
  <c r="AT12" i="4"/>
  <c r="AW11" i="4"/>
  <c r="AT11" i="4"/>
  <c r="AW10" i="4"/>
  <c r="AT10" i="4"/>
  <c r="AP28" i="4"/>
  <c r="AP30" i="4" s="1"/>
  <c r="AM28" i="4"/>
  <c r="AL28" i="4"/>
  <c r="AQ27" i="4"/>
  <c r="AN27" i="4"/>
  <c r="AQ26" i="4"/>
  <c r="AN26" i="4"/>
  <c r="AQ25" i="4"/>
  <c r="AN25" i="4"/>
  <c r="AQ24" i="4"/>
  <c r="AN24" i="4"/>
  <c r="AQ23" i="4"/>
  <c r="AN23" i="4"/>
  <c r="AQ20" i="4"/>
  <c r="AN20" i="4"/>
  <c r="AQ19" i="4"/>
  <c r="AN19" i="4"/>
  <c r="AQ18" i="4"/>
  <c r="AN18" i="4"/>
  <c r="AQ17" i="4"/>
  <c r="AN17" i="4"/>
  <c r="AQ16" i="4"/>
  <c r="AN16" i="4"/>
  <c r="AQ15" i="4"/>
  <c r="AN15" i="4"/>
  <c r="AQ14" i="4"/>
  <c r="AN14" i="4"/>
  <c r="AQ13" i="4"/>
  <c r="AN13" i="4"/>
  <c r="AQ12" i="4"/>
  <c r="AN12" i="4"/>
  <c r="AQ11" i="4"/>
  <c r="AN11" i="4"/>
  <c r="AQ10" i="4"/>
  <c r="AN10" i="4"/>
  <c r="AJ28" i="4"/>
  <c r="AJ30" i="4" s="1"/>
  <c r="AI28" i="4"/>
  <c r="AG28" i="4"/>
  <c r="AF28" i="4"/>
  <c r="AK27" i="4"/>
  <c r="AH27" i="4"/>
  <c r="AK26" i="4"/>
  <c r="AH26" i="4"/>
  <c r="AK25" i="4"/>
  <c r="AH25" i="4"/>
  <c r="AK24" i="4"/>
  <c r="AH24" i="4"/>
  <c r="AK23" i="4"/>
  <c r="AH23" i="4"/>
  <c r="AK20" i="4"/>
  <c r="AH20" i="4"/>
  <c r="AK19" i="4"/>
  <c r="AH19" i="4"/>
  <c r="AK18" i="4"/>
  <c r="AH18" i="4"/>
  <c r="AK17" i="4"/>
  <c r="AH17" i="4"/>
  <c r="AK16" i="4"/>
  <c r="AH16" i="4"/>
  <c r="AK15" i="4"/>
  <c r="AH15" i="4"/>
  <c r="AK14" i="4"/>
  <c r="AH14" i="4"/>
  <c r="AK13" i="4"/>
  <c r="AH13" i="4"/>
  <c r="AK12" i="4"/>
  <c r="AH12" i="4"/>
  <c r="AK11" i="4"/>
  <c r="AH11" i="4"/>
  <c r="AK10" i="4"/>
  <c r="AH10" i="4"/>
  <c r="AD28" i="4"/>
  <c r="AD30" i="4" s="1"/>
  <c r="AC28" i="4"/>
  <c r="AA28" i="4"/>
  <c r="Z28" i="4"/>
  <c r="AE27" i="4"/>
  <c r="AB27" i="4"/>
  <c r="AE26" i="4"/>
  <c r="AB26" i="4"/>
  <c r="AE25" i="4"/>
  <c r="AB25" i="4"/>
  <c r="AE24" i="4"/>
  <c r="AB24" i="4"/>
  <c r="AE23" i="4"/>
  <c r="AB23" i="4"/>
  <c r="AE20" i="4"/>
  <c r="AB20" i="4"/>
  <c r="AE19" i="4"/>
  <c r="AB19" i="4"/>
  <c r="AE18" i="4"/>
  <c r="AB18" i="4"/>
  <c r="AE17" i="4"/>
  <c r="AB17" i="4"/>
  <c r="AE16" i="4"/>
  <c r="AB16" i="4"/>
  <c r="AE15" i="4"/>
  <c r="AB15" i="4"/>
  <c r="AE14" i="4"/>
  <c r="AB14" i="4"/>
  <c r="AE13" i="4"/>
  <c r="AB13" i="4"/>
  <c r="AE12" i="4"/>
  <c r="AB12" i="4"/>
  <c r="AE11" i="4"/>
  <c r="AB11" i="4"/>
  <c r="AE10" i="4"/>
  <c r="AB10" i="4"/>
  <c r="X28" i="4"/>
  <c r="W28" i="4"/>
  <c r="U28" i="4"/>
  <c r="T28" i="4"/>
  <c r="Y27" i="4"/>
  <c r="V27" i="4"/>
  <c r="Y26" i="4"/>
  <c r="V26" i="4"/>
  <c r="Y25" i="4"/>
  <c r="V25" i="4"/>
  <c r="Y24" i="4"/>
  <c r="V24" i="4"/>
  <c r="Y23" i="4"/>
  <c r="V23" i="4"/>
  <c r="Y20" i="4"/>
  <c r="V20" i="4"/>
  <c r="Y19" i="4"/>
  <c r="V19" i="4"/>
  <c r="Y18" i="4"/>
  <c r="V18" i="4"/>
  <c r="Y17" i="4"/>
  <c r="V17" i="4"/>
  <c r="Y16" i="4"/>
  <c r="V16" i="4"/>
  <c r="Y15" i="4"/>
  <c r="V15" i="4"/>
  <c r="Y14" i="4"/>
  <c r="V14" i="4"/>
  <c r="Y13" i="4"/>
  <c r="V13" i="4"/>
  <c r="Y12" i="4"/>
  <c r="V12" i="4"/>
  <c r="Y11" i="4"/>
  <c r="V11" i="4"/>
  <c r="Y10" i="4"/>
  <c r="V10" i="4"/>
  <c r="R28" i="4"/>
  <c r="Q28" i="4"/>
  <c r="O28" i="4"/>
  <c r="N28" i="4"/>
  <c r="S27" i="4"/>
  <c r="P27" i="4"/>
  <c r="S26" i="4"/>
  <c r="P26" i="4"/>
  <c r="S25" i="4"/>
  <c r="P25" i="4"/>
  <c r="S24" i="4"/>
  <c r="P24" i="4"/>
  <c r="S23" i="4"/>
  <c r="P23" i="4"/>
  <c r="S20" i="4"/>
  <c r="P20" i="4"/>
  <c r="S19" i="4"/>
  <c r="P19" i="4"/>
  <c r="S18" i="4"/>
  <c r="P18" i="4"/>
  <c r="S17" i="4"/>
  <c r="P17" i="4"/>
  <c r="S16" i="4"/>
  <c r="P16" i="4"/>
  <c r="S15" i="4"/>
  <c r="P15" i="4"/>
  <c r="S14" i="4"/>
  <c r="P14" i="4"/>
  <c r="S13" i="4"/>
  <c r="P13" i="4"/>
  <c r="S12" i="4"/>
  <c r="P12" i="4"/>
  <c r="S11" i="4"/>
  <c r="P11" i="4"/>
  <c r="S10" i="4"/>
  <c r="P10" i="4"/>
  <c r="M27" i="4"/>
  <c r="M26" i="4"/>
  <c r="M25" i="4"/>
  <c r="M24" i="4"/>
  <c r="M23" i="4"/>
  <c r="J27" i="4"/>
  <c r="J26" i="4"/>
  <c r="J25" i="4"/>
  <c r="J24" i="4"/>
  <c r="J23" i="4"/>
  <c r="M11" i="4"/>
  <c r="M12" i="4"/>
  <c r="M13" i="4"/>
  <c r="M14" i="4"/>
  <c r="M15" i="4"/>
  <c r="M16" i="4"/>
  <c r="M17" i="4"/>
  <c r="M19" i="4"/>
  <c r="M10" i="4"/>
  <c r="J11" i="4"/>
  <c r="J12" i="4"/>
  <c r="J13" i="4"/>
  <c r="J14" i="4"/>
  <c r="J15" i="4"/>
  <c r="J16" i="4"/>
  <c r="J17" i="4"/>
  <c r="J19" i="4"/>
  <c r="CC27" i="4"/>
  <c r="CC26" i="4"/>
  <c r="CC25" i="4"/>
  <c r="CC24" i="4"/>
  <c r="CC23" i="4"/>
  <c r="CC11" i="4"/>
  <c r="CC12" i="4"/>
  <c r="CC13" i="4"/>
  <c r="CC14" i="4"/>
  <c r="CC15" i="4"/>
  <c r="CC16" i="4"/>
  <c r="CC17" i="4"/>
  <c r="CC19" i="4"/>
  <c r="CC10" i="4"/>
  <c r="CB27" i="4"/>
  <c r="CB26" i="4"/>
  <c r="CB25" i="4"/>
  <c r="CB24" i="4"/>
  <c r="CB23" i="4"/>
  <c r="CB11" i="4"/>
  <c r="CB12" i="4"/>
  <c r="CB13" i="4"/>
  <c r="CB14" i="4"/>
  <c r="CB15" i="4"/>
  <c r="CB16" i="4"/>
  <c r="CB17" i="4"/>
  <c r="CB18" i="4"/>
  <c r="CB19" i="4"/>
  <c r="CB10" i="4"/>
  <c r="K28" i="4"/>
  <c r="M28" i="4" s="1"/>
  <c r="X30" i="4" l="1"/>
  <c r="S28" i="4"/>
  <c r="BB30" i="4"/>
  <c r="P28" i="4"/>
  <c r="CB21" i="4"/>
  <c r="CG17" i="4"/>
  <c r="CG15" i="4"/>
  <c r="CG13" i="4"/>
  <c r="CG11" i="4"/>
  <c r="CG27" i="4"/>
  <c r="CG25" i="4"/>
  <c r="K30" i="4"/>
  <c r="CG19" i="4"/>
  <c r="AX30" i="4"/>
  <c r="AG30" i="4"/>
  <c r="L30" i="4"/>
  <c r="T30" i="4"/>
  <c r="AI30" i="4"/>
  <c r="AO30" i="4"/>
  <c r="AU30" i="4"/>
  <c r="BA30" i="4"/>
  <c r="BG30" i="4"/>
  <c r="BD30" i="4"/>
  <c r="BM30" i="4"/>
  <c r="BJ30" i="4"/>
  <c r="BS30" i="4"/>
  <c r="BP30" i="4"/>
  <c r="BY30" i="4"/>
  <c r="BV30" i="4"/>
  <c r="W30" i="4"/>
  <c r="AC30" i="4"/>
  <c r="Z30" i="4"/>
  <c r="BE30" i="4"/>
  <c r="BK30" i="4"/>
  <c r="BW30" i="4"/>
  <c r="BQ30" i="4"/>
  <c r="AL30" i="4"/>
  <c r="AR30" i="4"/>
  <c r="CG18" i="4"/>
  <c r="CG14" i="4"/>
  <c r="CF16" i="4"/>
  <c r="CF12" i="4"/>
  <c r="CF25" i="4"/>
  <c r="AM30" i="4"/>
  <c r="AY30" i="4"/>
  <c r="CE28" i="4"/>
  <c r="CF19" i="4"/>
  <c r="CF15" i="4"/>
  <c r="CF11" i="4"/>
  <c r="CF26" i="4"/>
  <c r="CD21" i="4"/>
  <c r="CF18" i="4"/>
  <c r="CF14" i="4"/>
  <c r="CF23" i="4"/>
  <c r="CF27" i="4"/>
  <c r="U30" i="4"/>
  <c r="AA30" i="4"/>
  <c r="CE21" i="4"/>
  <c r="CF10" i="4"/>
  <c r="CF17" i="4"/>
  <c r="CF13" i="4"/>
  <c r="CF24" i="4"/>
  <c r="AF30" i="4"/>
  <c r="CG16" i="4"/>
  <c r="CG12" i="4"/>
  <c r="CD28" i="4"/>
  <c r="CG26" i="4"/>
  <c r="CG24" i="4"/>
  <c r="CG10" i="4"/>
  <c r="CG23" i="4"/>
  <c r="Q30" i="4"/>
  <c r="N30" i="4"/>
  <c r="R30" i="4"/>
  <c r="O30" i="4"/>
  <c r="CB28" i="4"/>
  <c r="E21" i="4"/>
  <c r="P30" i="4" l="1"/>
  <c r="S30" i="4"/>
  <c r="M30" i="4"/>
  <c r="CG21" i="4"/>
  <c r="CE30" i="4"/>
  <c r="CG28" i="4"/>
  <c r="CD30" i="4"/>
  <c r="CB30" i="4"/>
  <c r="CG30" i="4" l="1"/>
  <c r="E44" i="4"/>
  <c r="C44" i="4"/>
  <c r="H28" i="4"/>
  <c r="J28" i="4" s="1"/>
  <c r="E28" i="4"/>
  <c r="E30" i="4" l="1"/>
  <c r="H30" i="4"/>
  <c r="J30" i="4" s="1"/>
  <c r="CC21" i="4"/>
  <c r="CF21" i="4" s="1"/>
  <c r="CC28" i="4"/>
  <c r="CF28" i="4" s="1"/>
  <c r="CC30" i="4" l="1"/>
  <c r="CF30" i="4" s="1"/>
</calcChain>
</file>

<file path=xl/sharedStrings.xml><?xml version="1.0" encoding="utf-8"?>
<sst xmlns="http://schemas.openxmlformats.org/spreadsheetml/2006/main" count="221" uniqueCount="105">
  <si>
    <t xml:space="preserve">Công ty CP Năng lượng Bitexco/ BITEXCO POWER
</t>
  </si>
  <si>
    <t xml:space="preserve">Ban Quản lý VH &amp; TT/ Operation Management and Market Divison
</t>
  </si>
  <si>
    <r>
      <rPr>
        <b/>
        <sz val="14"/>
        <color indexed="12"/>
        <rFont val="Times New Roman"/>
        <family val="1"/>
      </rPr>
      <t xml:space="preserve">BÁO CÁO </t>
    </r>
    <r>
      <rPr>
        <b/>
        <sz val="16"/>
        <color indexed="12"/>
        <rFont val="Times New Roman"/>
        <family val="1"/>
      </rPr>
      <t>SẢN LƯỢNG HÀNG NGÀY CÁC NHÀ MÁY THỦY ĐIỆN NĂM 2019</t>
    </r>
    <r>
      <rPr>
        <b/>
        <sz val="12"/>
        <color indexed="12"/>
        <rFont val="Times New Roman"/>
        <family val="1"/>
      </rPr>
      <t xml:space="preserve">
DAILY PRODUCTION REPORT OF HYDROPOWER PLANTS IN 2019</t>
    </r>
  </si>
  <si>
    <t>I. Báo cáo sản lượng hàng ngày/Daily production</t>
  </si>
  <si>
    <r>
      <t xml:space="preserve">TT 
</t>
    </r>
    <r>
      <rPr>
        <b/>
        <sz val="12"/>
        <color indexed="10"/>
        <rFont val="Times New Roman"/>
        <family val="1"/>
      </rPr>
      <t>No</t>
    </r>
  </si>
  <si>
    <r>
      <t xml:space="preserve">Nhà máy 
</t>
    </r>
    <r>
      <rPr>
        <b/>
        <i/>
        <sz val="12"/>
        <color indexed="10"/>
        <rFont val="Times New Roman"/>
        <family val="1"/>
      </rPr>
      <t>Power Plant</t>
    </r>
  </si>
  <si>
    <r>
      <t>Ngày /</t>
    </r>
    <r>
      <rPr>
        <b/>
        <i/>
        <sz val="12"/>
        <color indexed="10"/>
        <rFont val="Times New Roman"/>
        <family val="1"/>
      </rPr>
      <t xml:space="preserve"> Daily</t>
    </r>
  </si>
  <si>
    <r>
      <t>Tháng 1 /</t>
    </r>
    <r>
      <rPr>
        <b/>
        <sz val="12"/>
        <color indexed="10"/>
        <rFont val="Times New Roman"/>
        <family val="1"/>
      </rPr>
      <t xml:space="preserve"> January</t>
    </r>
  </si>
  <si>
    <r>
      <t>Tháng 2 /</t>
    </r>
    <r>
      <rPr>
        <b/>
        <sz val="12"/>
        <color indexed="10"/>
        <rFont val="Times New Roman"/>
        <family val="1"/>
      </rPr>
      <t xml:space="preserve"> February</t>
    </r>
  </si>
  <si>
    <r>
      <t>Tháng 3 /</t>
    </r>
    <r>
      <rPr>
        <b/>
        <sz val="12"/>
        <color indexed="10"/>
        <rFont val="Times New Roman"/>
        <family val="1"/>
      </rPr>
      <t xml:space="preserve"> March</t>
    </r>
  </si>
  <si>
    <r>
      <t>Tháng 4 /</t>
    </r>
    <r>
      <rPr>
        <b/>
        <sz val="12"/>
        <color indexed="10"/>
        <rFont val="Times New Roman"/>
        <family val="1"/>
      </rPr>
      <t xml:space="preserve"> April</t>
    </r>
  </si>
  <si>
    <r>
      <t>Tháng 5 /</t>
    </r>
    <r>
      <rPr>
        <b/>
        <sz val="12"/>
        <color indexed="10"/>
        <rFont val="Times New Roman"/>
        <family val="1"/>
      </rPr>
      <t xml:space="preserve"> May</t>
    </r>
  </si>
  <si>
    <r>
      <t>Tháng 6 /</t>
    </r>
    <r>
      <rPr>
        <b/>
        <sz val="12"/>
        <color indexed="10"/>
        <rFont val="Times New Roman"/>
        <family val="1"/>
      </rPr>
      <t xml:space="preserve"> June</t>
    </r>
  </si>
  <si>
    <r>
      <t>Tháng 7 /</t>
    </r>
    <r>
      <rPr>
        <b/>
        <sz val="12"/>
        <color indexed="10"/>
        <rFont val="Times New Roman"/>
        <family val="1"/>
      </rPr>
      <t xml:space="preserve"> July</t>
    </r>
  </si>
  <si>
    <r>
      <t>Tháng 8 /</t>
    </r>
    <r>
      <rPr>
        <b/>
        <sz val="12"/>
        <color indexed="10"/>
        <rFont val="Times New Roman"/>
        <family val="1"/>
      </rPr>
      <t xml:space="preserve"> August</t>
    </r>
  </si>
  <si>
    <r>
      <t>Tháng 9 /</t>
    </r>
    <r>
      <rPr>
        <b/>
        <sz val="12"/>
        <color indexed="10"/>
        <rFont val="Times New Roman"/>
        <family val="1"/>
      </rPr>
      <t xml:space="preserve"> September</t>
    </r>
  </si>
  <si>
    <r>
      <t>Tháng 10 /</t>
    </r>
    <r>
      <rPr>
        <b/>
        <sz val="12"/>
        <color indexed="10"/>
        <rFont val="Times New Roman"/>
        <family val="1"/>
      </rPr>
      <t xml:space="preserve"> October</t>
    </r>
  </si>
  <si>
    <r>
      <t>Tháng 11 /</t>
    </r>
    <r>
      <rPr>
        <b/>
        <sz val="12"/>
        <color indexed="10"/>
        <rFont val="Times New Roman"/>
        <family val="1"/>
      </rPr>
      <t xml:space="preserve"> November</t>
    </r>
  </si>
  <si>
    <r>
      <t>Tháng 12 /</t>
    </r>
    <r>
      <rPr>
        <b/>
        <sz val="12"/>
        <color indexed="10"/>
        <rFont val="Times New Roman"/>
        <family val="1"/>
      </rPr>
      <t xml:space="preserve"> December</t>
    </r>
  </si>
  <si>
    <r>
      <t xml:space="preserve">Năm / </t>
    </r>
    <r>
      <rPr>
        <b/>
        <i/>
        <sz val="12"/>
        <color indexed="10"/>
        <rFont val="Times New Roman"/>
        <family val="1"/>
      </rPr>
      <t>Year</t>
    </r>
  </si>
  <si>
    <r>
      <t xml:space="preserve">Sản lượng / </t>
    </r>
    <r>
      <rPr>
        <b/>
        <sz val="12"/>
        <color rgb="FFFF0000"/>
        <rFont val="Times New Roman"/>
        <family val="1"/>
      </rPr>
      <t>Quantity</t>
    </r>
  </si>
  <si>
    <r>
      <t xml:space="preserve">Doanh thu / </t>
    </r>
    <r>
      <rPr>
        <b/>
        <sz val="12"/>
        <color rgb="FFFF0000"/>
        <rFont val="Times New Roman"/>
        <family val="1"/>
      </rPr>
      <t>Revenue</t>
    </r>
  </si>
  <si>
    <r>
      <t xml:space="preserve">Tỷ lệ / </t>
    </r>
    <r>
      <rPr>
        <b/>
        <sz val="12"/>
        <color rgb="FFFF0000"/>
        <rFont val="Times New Roman"/>
        <family val="1"/>
      </rPr>
      <t>Rate</t>
    </r>
  </si>
  <si>
    <r>
      <t xml:space="preserve">MN lúc 24h00
</t>
    </r>
    <r>
      <rPr>
        <b/>
        <i/>
        <sz val="11"/>
        <color indexed="10"/>
        <rFont val="Times New Roman"/>
        <family val="1"/>
      </rPr>
      <t xml:space="preserve">
Elevation at 24h
(m)</t>
    </r>
  </si>
  <si>
    <r>
      <t xml:space="preserve">Sản lượng ngày báo cáo / 
</t>
    </r>
    <r>
      <rPr>
        <b/>
        <i/>
        <sz val="11"/>
        <color indexed="10"/>
        <rFont val="Times New Roman"/>
        <family val="1"/>
      </rPr>
      <t>Power Generation
(MWh)</t>
    </r>
  </si>
  <si>
    <r>
      <t xml:space="preserve">Công suất TB ngày báo cáo / 
</t>
    </r>
    <r>
      <rPr>
        <b/>
        <i/>
        <sz val="11"/>
        <color indexed="10"/>
        <rFont val="Times New Roman"/>
        <family val="1"/>
      </rPr>
      <t>Avergate power 
(MW)</t>
    </r>
  </si>
  <si>
    <r>
      <t xml:space="preserve">Thực hiện /
</t>
    </r>
    <r>
      <rPr>
        <b/>
        <i/>
        <sz val="11"/>
        <color indexed="10"/>
        <rFont val="Times New Roman"/>
        <family val="1"/>
      </rPr>
      <t xml:space="preserve">
Actual (Mwh)</t>
    </r>
  </si>
  <si>
    <r>
      <t xml:space="preserve">Tỷ lệ HT KH / 
</t>
    </r>
    <r>
      <rPr>
        <b/>
        <i/>
        <sz val="11"/>
        <color rgb="FFFF0000"/>
        <rFont val="Times New Roman"/>
        <family val="1"/>
      </rPr>
      <t xml:space="preserve">
Performance rate of  plan (%)</t>
    </r>
  </si>
  <si>
    <r>
      <t xml:space="preserve">Sản lượng KH năm 2020/
</t>
    </r>
    <r>
      <rPr>
        <b/>
        <i/>
        <sz val="11"/>
        <color indexed="10"/>
        <rFont val="Times New Roman"/>
        <family val="1"/>
      </rPr>
      <t>Annual production plan (MWh)</t>
    </r>
  </si>
  <si>
    <r>
      <t xml:space="preserve">Sản lượng lũy kế năm 2020 / 
</t>
    </r>
    <r>
      <rPr>
        <b/>
        <i/>
        <sz val="11"/>
        <color indexed="10"/>
        <rFont val="Times New Roman"/>
        <family val="1"/>
      </rPr>
      <t>Accumulated production of 2019
(MWh)</t>
    </r>
  </si>
  <si>
    <r>
      <t xml:space="preserve">Doanh thu KH năm 2020/
</t>
    </r>
    <r>
      <rPr>
        <b/>
        <i/>
        <sz val="11"/>
        <color indexed="10"/>
        <rFont val="Times New Roman"/>
        <family val="1"/>
      </rPr>
      <t>Revenue plan (MWh)</t>
    </r>
  </si>
  <si>
    <r>
      <t xml:space="preserve">Doanh thu lũy kế năm 2020 / 
</t>
    </r>
    <r>
      <rPr>
        <b/>
        <i/>
        <sz val="11"/>
        <color indexed="10"/>
        <rFont val="Times New Roman"/>
        <family val="1"/>
      </rPr>
      <t>Accumulated revenue of 2019
(MWh)</t>
    </r>
  </si>
  <si>
    <r>
      <t xml:space="preserve">Tỷ lệ HT KH SL 2020/ 
</t>
    </r>
    <r>
      <rPr>
        <b/>
        <i/>
        <sz val="11"/>
        <color indexed="10"/>
        <rFont val="Times New Roman"/>
        <family val="1"/>
      </rPr>
      <t xml:space="preserve">Performance rate production (%) </t>
    </r>
  </si>
  <si>
    <r>
      <t xml:space="preserve">Tỷ lệ HT KH DT 2020/ 
</t>
    </r>
    <r>
      <rPr>
        <b/>
        <i/>
        <sz val="11"/>
        <color indexed="10"/>
        <rFont val="Times New Roman"/>
        <family val="1"/>
      </rPr>
      <t xml:space="preserve">Performance rate revenue (%) </t>
    </r>
  </si>
  <si>
    <t>A</t>
  </si>
  <si>
    <r>
      <t>CỤM NHÀ MÁY TRÊN 30MW /</t>
    </r>
    <r>
      <rPr>
        <b/>
        <sz val="12"/>
        <color indexed="10"/>
        <rFont val="Times New Roman"/>
        <family val="1"/>
      </rPr>
      <t xml:space="preserve"> IN-MARKET PLANTS (</t>
    </r>
    <r>
      <rPr>
        <b/>
        <sz val="12"/>
        <color indexed="10"/>
        <rFont val="Calibri"/>
        <family val="2"/>
      </rPr>
      <t>≥</t>
    </r>
    <r>
      <rPr>
        <b/>
        <sz val="12"/>
        <color indexed="10"/>
        <rFont val="Times New Roman"/>
        <family val="1"/>
      </rPr>
      <t>30MW)</t>
    </r>
  </si>
  <si>
    <t>Nho Quế 1</t>
  </si>
  <si>
    <t>Nho Quế 2</t>
  </si>
  <si>
    <t>Nho Quế 3</t>
  </si>
  <si>
    <t>Nậm Mức</t>
  </si>
  <si>
    <t>Văn Chấn</t>
  </si>
  <si>
    <t>Bá Thước 1</t>
  </si>
  <si>
    <t>Bá Thước 2</t>
  </si>
  <si>
    <t>Bình Điền</t>
  </si>
  <si>
    <t>Đak Mi 4</t>
  </si>
  <si>
    <t>Nhị Hà</t>
  </si>
  <si>
    <t>Long Tạo</t>
  </si>
  <si>
    <t>Cộng/ Total</t>
  </si>
  <si>
    <t>B</t>
  </si>
  <si>
    <r>
      <t xml:space="preserve">CỤM NHÀ MÁY DƯỚI 30MW / </t>
    </r>
    <r>
      <rPr>
        <b/>
        <sz val="12"/>
        <color indexed="10"/>
        <rFont val="Times New Roman"/>
        <family val="1"/>
      </rPr>
      <t>OUT-MARKET PLANTS (&lt;30MW)</t>
    </r>
  </si>
  <si>
    <t>Tả Trạch</t>
  </si>
  <si>
    <t>Đak Srông 2</t>
  </si>
  <si>
    <t>Đak Srong 2A</t>
  </si>
  <si>
    <t>Đak Srong 3A</t>
  </si>
  <si>
    <t>Đak Srong 3B</t>
  </si>
  <si>
    <t>C</t>
  </si>
  <si>
    <r>
      <t xml:space="preserve">TỔNG CÁC NHÀ MÁY / </t>
    </r>
    <r>
      <rPr>
        <b/>
        <sz val="12"/>
        <color indexed="10"/>
        <rFont val="Times New Roman"/>
        <family val="1"/>
      </rPr>
      <t>TOTAL PLANTS</t>
    </r>
  </si>
  <si>
    <t>II. Công tác vận hành / Operation:</t>
  </si>
  <si>
    <r>
      <t xml:space="preserve">1. Nhà máy không phát đủ 24h / </t>
    </r>
    <r>
      <rPr>
        <i/>
        <sz val="12"/>
        <color indexed="10"/>
        <rFont val="Times New Roman"/>
        <family val="1"/>
      </rPr>
      <t>Power plants cannot operate fully 24h/day</t>
    </r>
  </si>
  <si>
    <r>
      <t xml:space="preserve">- Do sự cố/ </t>
    </r>
    <r>
      <rPr>
        <i/>
        <sz val="12"/>
        <color indexed="10"/>
        <rFont val="Times New Roman"/>
        <family val="1"/>
      </rPr>
      <t>due to incedents</t>
    </r>
  </si>
  <si>
    <r>
      <t>Người lập/</t>
    </r>
    <r>
      <rPr>
        <b/>
        <i/>
        <sz val="11.5"/>
        <color indexed="10"/>
        <rFont val="Times New Roman"/>
        <family val="1"/>
      </rPr>
      <t xml:space="preserve"> Prepared by</t>
    </r>
  </si>
  <si>
    <t>-Do công việc khác</t>
  </si>
  <si>
    <t>Nguyễn Hoàng Thành</t>
  </si>
  <si>
    <r>
      <t>- Do phương thức vận hành (tích nước dự trữ)/</t>
    </r>
    <r>
      <rPr>
        <i/>
        <sz val="12"/>
        <color indexed="10"/>
        <rFont val="Times New Roman"/>
        <family val="1"/>
      </rPr>
      <t xml:space="preserve"> voluntee operation (reserve water)</t>
    </r>
  </si>
  <si>
    <t>Bình Điền, Tả Trạch, Đak Mi</t>
  </si>
  <si>
    <r>
      <t xml:space="preserve">2. Nhà máy phát không đạt công suất thiết kế dù đủ nước/ </t>
    </r>
    <r>
      <rPr>
        <i/>
        <sz val="12"/>
        <color indexed="10"/>
        <rFont val="Times New Roman"/>
        <family val="1"/>
      </rPr>
      <t>Power plants operate under install capacity even enough water</t>
    </r>
  </si>
  <si>
    <t>'- Do thiếu nước/ not enough water</t>
  </si>
  <si>
    <r>
      <t>- Do cột nước không đảm bảo/</t>
    </r>
    <r>
      <rPr>
        <i/>
        <sz val="12"/>
        <color indexed="10"/>
        <rFont val="Times New Roman"/>
        <family val="1"/>
      </rPr>
      <t xml:space="preserve"> low rated head (high evelvation at dowstream)</t>
    </r>
  </si>
  <si>
    <t>Nậm Mức, Nho Quế 1,2,3, Bá Thước 1,2, Văn Chấn</t>
  </si>
  <si>
    <r>
      <t xml:space="preserve">- Do lệnh điều độ/ </t>
    </r>
    <r>
      <rPr>
        <sz val="12"/>
        <color rgb="FFFF0000"/>
        <rFont val="Times New Roman"/>
        <family val="1"/>
      </rPr>
      <t>(</t>
    </r>
    <r>
      <rPr>
        <i/>
        <sz val="12"/>
        <color indexed="10"/>
        <rFont val="Times New Roman"/>
        <family val="1"/>
      </rPr>
      <t>due to dispatch operations)</t>
    </r>
  </si>
  <si>
    <r>
      <t xml:space="preserve">3. Nhà máy phát vượt công suất thiết kế hoặc xả nước/ </t>
    </r>
    <r>
      <rPr>
        <i/>
        <sz val="12"/>
        <color indexed="10"/>
        <rFont val="Times New Roman"/>
        <family val="1"/>
      </rPr>
      <t>Power plants operate over installed capacity or spilling</t>
    </r>
  </si>
  <si>
    <r>
      <t xml:space="preserve">- Xả bắt buộc theo quy trình / </t>
    </r>
    <r>
      <rPr>
        <i/>
        <sz val="12"/>
        <color indexed="10"/>
        <rFont val="Times New Roman"/>
        <family val="1"/>
      </rPr>
      <t>legal procedure water spilling</t>
    </r>
  </si>
  <si>
    <t xml:space="preserve">Dak Mi </t>
  </si>
  <si>
    <r>
      <t xml:space="preserve">- Xả tràn do thừa nước / </t>
    </r>
    <r>
      <rPr>
        <i/>
        <sz val="12"/>
        <color indexed="10"/>
        <rFont val="Times New Roman"/>
        <family val="1"/>
      </rPr>
      <t xml:space="preserve">water overflow </t>
    </r>
  </si>
  <si>
    <t>Đak Mi: 252.6 m; Bình Điền: 75.66</t>
  </si>
  <si>
    <t>THÔNG TIN CHUNG</t>
  </si>
  <si>
    <t>Chỉ tiêu</t>
  </si>
  <si>
    <t>NHÀ MÁY</t>
  </si>
  <si>
    <t>HỒ CHỨA</t>
  </si>
  <si>
    <t>Số tổ máy</t>
  </si>
  <si>
    <t>Plm</t>
  </si>
  <si>
    <t>Pmin</t>
  </si>
  <si>
    <t>Eo</t>
  </si>
  <si>
    <t>MN DBT</t>
  </si>
  <si>
    <t>MNC</t>
  </si>
  <si>
    <t>Qo</t>
  </si>
  <si>
    <t>Qmax</t>
  </si>
  <si>
    <t>Wtb</t>
  </si>
  <si>
    <t>Whi</t>
  </si>
  <si>
    <t>Wc</t>
  </si>
  <si>
    <t>(Tổ máy)</t>
  </si>
  <si>
    <t>(MW)</t>
  </si>
  <si>
    <r>
      <t>(10</t>
    </r>
    <r>
      <rPr>
        <vertAlign val="superscript"/>
        <sz val="12"/>
        <color theme="1"/>
        <rFont val="Times New Roman"/>
        <family val="1"/>
      </rPr>
      <t>6</t>
    </r>
    <r>
      <rPr>
        <sz val="12"/>
        <color theme="1"/>
        <rFont val="Times New Roman"/>
        <family val="1"/>
      </rPr>
      <t xml:space="preserve"> kWh)</t>
    </r>
  </si>
  <si>
    <t>(m)</t>
  </si>
  <si>
    <r>
      <t>(m</t>
    </r>
    <r>
      <rPr>
        <vertAlign val="super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1"/>
      </rPr>
      <t>/s)</t>
    </r>
  </si>
  <si>
    <r>
      <t>(10</t>
    </r>
    <r>
      <rPr>
        <vertAlign val="superscript"/>
        <sz val="12"/>
        <color theme="1"/>
        <rFont val="Times New Roman"/>
        <family val="1"/>
      </rPr>
      <t>6</t>
    </r>
    <r>
      <rPr>
        <sz val="12"/>
        <color theme="1"/>
        <rFont val="Times New Roman"/>
        <family val="1"/>
      </rPr>
      <t>m</t>
    </r>
    <r>
      <rPr>
        <vertAlign val="super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1"/>
      </rPr>
      <t>)</t>
    </r>
  </si>
  <si>
    <t>-</t>
  </si>
  <si>
    <r>
      <t xml:space="preserve">LL về hồ TB ngày
/
</t>
    </r>
    <r>
      <rPr>
        <b/>
        <i/>
        <sz val="11"/>
        <color rgb="FFFF0000"/>
        <rFont val="Times New Roman"/>
        <family val="1"/>
      </rPr>
      <t>The average daily flow to the lake (m3/s)</t>
    </r>
  </si>
  <si>
    <r>
      <t xml:space="preserve">Kế hoạch /
</t>
    </r>
    <r>
      <rPr>
        <b/>
        <sz val="11"/>
        <color rgb="FFFF0000"/>
        <rFont val="Times New Roman"/>
        <family val="1"/>
      </rPr>
      <t>Plan (Mwh)</t>
    </r>
  </si>
  <si>
    <r>
      <t xml:space="preserve">Thực hiện /
</t>
    </r>
    <r>
      <rPr>
        <b/>
        <i/>
        <sz val="11"/>
        <color indexed="10"/>
        <rFont val="Times New Roman"/>
        <family val="1"/>
      </rPr>
      <t>Actual (Mwh)</t>
    </r>
  </si>
  <si>
    <r>
      <t xml:space="preserve">Tỷ lệ HT KH / 
</t>
    </r>
    <r>
      <rPr>
        <b/>
        <i/>
        <sz val="11"/>
        <color rgb="FFFF0000"/>
        <rFont val="Times New Roman"/>
        <family val="1"/>
      </rPr>
      <t>Performance rate of  plan (%)</t>
    </r>
  </si>
  <si>
    <r>
      <t xml:space="preserve">Kế hoạch /
</t>
    </r>
    <r>
      <rPr>
        <b/>
        <sz val="11"/>
        <color rgb="FFFF0000"/>
        <rFont val="Times New Roman"/>
        <family val="1"/>
      </rPr>
      <t>Plan (Mwh)</t>
    </r>
  </si>
  <si>
    <t>Thủy văn ngày</t>
  </si>
  <si>
    <r>
      <t xml:space="preserve">Doanh thu ngày báo cáo / 
</t>
    </r>
    <r>
      <rPr>
        <b/>
        <i/>
        <sz val="11"/>
        <color indexed="10"/>
        <rFont val="Times New Roman"/>
        <family val="1"/>
      </rPr>
      <t>Revenue Generation
(tr.đồng)</t>
    </r>
  </si>
  <si>
    <t>Ngày báo cáo/ Report date: 16/03/2020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</si>
</sst>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_(* #,##0.0_);_(* \(#,##0.0\);_(* &quot;-&quot;??_);_(@_)"/>
    <numFmt numFmtId="167" formatCode="0.0%"/>
    <numFmt numFmtId="168" formatCode="_(* #,##0.0_);_(* \(#,##0.0\);_(* &quot;-&quot;?_);_(@_)"/>
    <numFmt numFmtId="169" formatCode="#,##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indexed="12"/>
      <name val="Times New Roman"/>
      <family val="1"/>
    </font>
    <font>
      <b/>
      <sz val="14"/>
      <color indexed="12"/>
      <name val="Times New Roman"/>
      <family val="1"/>
    </font>
    <font>
      <b/>
      <sz val="16"/>
      <color indexed="12"/>
      <name val="Times New Roman"/>
      <family val="1"/>
    </font>
    <font>
      <b/>
      <sz val="15"/>
      <color rgb="FF0000FF"/>
      <name val="Times New Roman"/>
      <family val="1"/>
    </font>
    <font>
      <sz val="15"/>
      <color theme="1"/>
      <name val="Times New Roman"/>
      <family val="1"/>
    </font>
    <font>
      <b/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b/>
      <i/>
      <sz val="11"/>
      <color indexed="10"/>
      <name val="Times New Roman"/>
      <family val="1"/>
    </font>
    <font>
      <b/>
      <i/>
      <sz val="11"/>
      <color rgb="FFFF0000"/>
      <name val="Times New Roman"/>
      <family val="1"/>
    </font>
    <font>
      <b/>
      <sz val="12"/>
      <color indexed="10"/>
      <name val="Calibri"/>
      <family val="2"/>
    </font>
    <font>
      <sz val="12"/>
      <name val="Times New Roman"/>
      <family val="1"/>
    </font>
    <font>
      <sz val="12"/>
      <color rgb="FFFF0000"/>
      <name val="Times New Roman"/>
      <family val="1"/>
    </font>
    <font>
      <i/>
      <sz val="12"/>
      <color indexed="10"/>
      <name val="Times New Roman"/>
      <family val="1"/>
    </font>
    <font>
      <b/>
      <sz val="11.5"/>
      <color theme="1"/>
      <name val="Times New Roman"/>
      <family val="1"/>
    </font>
    <font>
      <b/>
      <i/>
      <sz val="11.5"/>
      <color indexed="10"/>
      <name val="Times New Roman"/>
      <family val="1"/>
    </font>
    <font>
      <vertAlign val="superscript"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1"/>
      <color rgb="FFFF0000"/>
      <name val="Times New Roman"/>
      <family val="1"/>
    </font>
    <font>
      <sz val="12"/>
      <color rgb="FF00000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83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11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3" fillId="3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5" fillId="4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6" fontId="6" fillId="3" borderId="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7" fillId="2" borderId="0" xfId="0" applyFont="1" applyFill="1"/>
    <xf numFmtId="0" fontId="6" fillId="2" borderId="0" xfId="0" applyFont="1" applyFill="1"/>
    <xf numFmtId="0" fontId="5" fillId="0" borderId="1" xfId="0" applyFont="1" applyBorder="1" applyAlignment="1">
      <alignment horizontal="center" vertical="center"/>
    </xf>
    <xf numFmtId="166" fontId="5" fillId="3" borderId="1" xfId="0" applyNumberFormat="1" applyFont="1" applyFill="1" applyBorder="1" applyAlignment="1">
      <alignment horizontal="center" vertical="center"/>
    </xf>
    <xf numFmtId="3" fontId="5" fillId="0" borderId="0" xfId="0" applyNumberFormat="1" applyFont="1" applyAlignment="1">
      <alignment vertical="center"/>
    </xf>
    <xf numFmtId="166" fontId="5" fillId="3" borderId="1" xfId="1" applyNumberFormat="1" applyFont="1" applyFill="1" applyBorder="1" applyAlignment="1">
      <alignment horizontal="center" vertical="center"/>
    </xf>
    <xf numFmtId="166" fontId="5" fillId="0" borderId="0" xfId="0" applyNumberFormat="1" applyFont="1" applyAlignment="1">
      <alignment vertical="center"/>
    </xf>
    <xf numFmtId="164" fontId="5" fillId="0" borderId="0" xfId="0" applyNumberFormat="1" applyFont="1" applyAlignment="1">
      <alignment vertical="center"/>
    </xf>
    <xf numFmtId="166" fontId="5" fillId="2" borderId="0" xfId="0" applyNumberFormat="1" applyFont="1" applyFill="1" applyAlignment="1">
      <alignment vertical="center"/>
    </xf>
    <xf numFmtId="168" fontId="6" fillId="0" borderId="0" xfId="0" applyNumberFormat="1" applyFont="1"/>
    <xf numFmtId="0" fontId="6" fillId="0" borderId="0" xfId="0" quotePrefix="1" applyFont="1" applyAlignment="1">
      <alignment horizontal="left" vertical="center" wrapText="1"/>
    </xf>
    <xf numFmtId="0" fontId="17" fillId="0" borderId="0" xfId="0" applyFont="1" applyAlignment="1">
      <alignment vertical="center"/>
    </xf>
    <xf numFmtId="0" fontId="6" fillId="0" borderId="0" xfId="0" quotePrefix="1" applyFont="1" applyAlignment="1">
      <alignment vertical="center" wrapText="1"/>
    </xf>
    <xf numFmtId="0" fontId="4" fillId="6" borderId="0" xfId="0" applyFont="1" applyFill="1"/>
    <xf numFmtId="0" fontId="6" fillId="0" borderId="1" xfId="0" applyFont="1" applyBorder="1" applyAlignment="1">
      <alignment vertical="center"/>
    </xf>
    <xf numFmtId="0" fontId="6" fillId="0" borderId="0" xfId="0" applyFont="1" applyAlignment="1"/>
    <xf numFmtId="0" fontId="6" fillId="8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/>
    <xf numFmtId="0" fontId="6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164" fontId="6" fillId="0" borderId="1" xfId="1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4" fillId="0" borderId="0" xfId="0" applyFont="1" applyFill="1"/>
    <xf numFmtId="0" fontId="11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4" fillId="0" borderId="0" xfId="0" applyFont="1" applyFill="1" applyAlignment="1">
      <alignment vertical="top" wrapText="1"/>
    </xf>
    <xf numFmtId="0" fontId="6" fillId="0" borderId="0" xfId="0" applyFont="1" applyFill="1"/>
    <xf numFmtId="43" fontId="4" fillId="0" borderId="0" xfId="0" applyNumberFormat="1" applyFont="1" applyFill="1"/>
    <xf numFmtId="43" fontId="6" fillId="0" borderId="0" xfId="0" applyNumberFormat="1" applyFont="1" applyFill="1"/>
    <xf numFmtId="0" fontId="3" fillId="5" borderId="1" xfId="0" applyFont="1" applyFill="1" applyBorder="1" applyAlignment="1">
      <alignment horizontal="center" vertical="top" wrapText="1"/>
    </xf>
    <xf numFmtId="0" fontId="5" fillId="0" borderId="0" xfId="0" applyFont="1" applyFill="1"/>
    <xf numFmtId="37" fontId="6" fillId="0" borderId="1" xfId="1" applyNumberFormat="1" applyFont="1" applyFill="1" applyBorder="1" applyAlignment="1">
      <alignment horizontal="center" vertical="center"/>
    </xf>
    <xf numFmtId="167" fontId="6" fillId="3" borderId="1" xfId="2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0" fillId="0" borderId="0" xfId="0" applyFont="1" applyAlignment="1">
      <alignment vertical="top"/>
    </xf>
    <xf numFmtId="0" fontId="3" fillId="0" borderId="0" xfId="0" applyFont="1" applyAlignment="1"/>
    <xf numFmtId="0" fontId="3" fillId="9" borderId="1" xfId="0" applyFont="1" applyFill="1" applyBorder="1" applyAlignment="1">
      <alignment horizontal="center" vertical="top" wrapText="1"/>
    </xf>
    <xf numFmtId="164" fontId="6" fillId="9" borderId="1" xfId="1" applyNumberFormat="1" applyFont="1" applyFill="1" applyBorder="1" applyAlignment="1">
      <alignment horizontal="center" vertical="center"/>
    </xf>
    <xf numFmtId="37" fontId="6" fillId="9" borderId="1" xfId="1" applyNumberFormat="1" applyFont="1" applyFill="1" applyBorder="1" applyAlignment="1">
      <alignment horizontal="center" vertical="center"/>
    </xf>
    <xf numFmtId="0" fontId="6" fillId="9" borderId="1" xfId="1" applyNumberFormat="1" applyFont="1" applyFill="1" applyBorder="1" applyAlignment="1">
      <alignment horizontal="center" vertical="center"/>
    </xf>
    <xf numFmtId="0" fontId="6" fillId="9" borderId="0" xfId="0" applyFont="1" applyFill="1"/>
    <xf numFmtId="164" fontId="5" fillId="9" borderId="1" xfId="1" applyNumberFormat="1" applyFont="1" applyFill="1" applyBorder="1" applyAlignment="1">
      <alignment horizontal="center" vertical="center"/>
    </xf>
    <xf numFmtId="167" fontId="5" fillId="9" borderId="1" xfId="2" applyNumberFormat="1" applyFont="1" applyFill="1" applyBorder="1" applyAlignment="1">
      <alignment horizontal="center" vertical="center"/>
    </xf>
    <xf numFmtId="166" fontId="5" fillId="9" borderId="1" xfId="1" applyNumberFormat="1" applyFont="1" applyFill="1" applyBorder="1" applyAlignment="1">
      <alignment horizontal="center" vertical="center"/>
    </xf>
    <xf numFmtId="164" fontId="5" fillId="9" borderId="1" xfId="0" applyNumberFormat="1" applyFont="1" applyFill="1" applyBorder="1" applyAlignment="1">
      <alignment horizontal="center" vertical="center"/>
    </xf>
    <xf numFmtId="0" fontId="6" fillId="0" borderId="1" xfId="0" quotePrefix="1" applyFont="1" applyBorder="1" applyAlignment="1">
      <alignment horizontal="left" vertical="center" wrapText="1"/>
    </xf>
    <xf numFmtId="0" fontId="5" fillId="7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25" fillId="0" borderId="4" xfId="0" applyFont="1" applyFill="1" applyBorder="1" applyAlignment="1">
      <alignment horizontal="center" vertical="center"/>
    </xf>
    <xf numFmtId="9" fontId="6" fillId="9" borderId="1" xfId="2" applyFont="1" applyFill="1" applyBorder="1" applyAlignment="1">
      <alignment horizontal="center" vertical="center"/>
    </xf>
    <xf numFmtId="166" fontId="6" fillId="3" borderId="1" xfId="1" applyNumberFormat="1" applyFont="1" applyFill="1" applyBorder="1" applyAlignment="1">
      <alignment horizontal="right" vertical="center"/>
    </xf>
    <xf numFmtId="166" fontId="6" fillId="5" borderId="1" xfId="1" applyNumberFormat="1" applyFont="1" applyFill="1" applyBorder="1" applyAlignment="1">
      <alignment horizontal="right" vertical="center"/>
    </xf>
    <xf numFmtId="166" fontId="6" fillId="5" borderId="1" xfId="0" applyNumberFormat="1" applyFont="1" applyFill="1" applyBorder="1" applyAlignment="1">
      <alignment horizontal="right" vertical="center"/>
    </xf>
    <xf numFmtId="166" fontId="17" fillId="5" borderId="1" xfId="1" applyNumberFormat="1" applyFont="1" applyFill="1" applyBorder="1" applyAlignment="1">
      <alignment horizontal="right" vertical="center"/>
    </xf>
    <xf numFmtId="166" fontId="17" fillId="5" borderId="1" xfId="0" applyNumberFormat="1" applyFont="1" applyFill="1" applyBorder="1" applyAlignment="1">
      <alignment horizontal="right" vertical="center"/>
    </xf>
    <xf numFmtId="166" fontId="6" fillId="5" borderId="1" xfId="1" applyNumberFormat="1" applyFont="1" applyFill="1" applyBorder="1" applyAlignment="1">
      <alignment horizontal="center" vertical="center"/>
    </xf>
    <xf numFmtId="166" fontId="6" fillId="5" borderId="1" xfId="0" applyNumberFormat="1" applyFont="1" applyFill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16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" xfId="0" quotePrefix="1" applyFont="1" applyBorder="1" applyAlignment="1">
      <alignment vertical="center" wrapText="1"/>
    </xf>
    <xf numFmtId="164" fontId="5" fillId="0" borderId="1" xfId="0" applyNumberFormat="1" applyFont="1" applyBorder="1" applyAlignment="1">
      <alignment vertical="center"/>
    </xf>
    <xf numFmtId="169" fontId="6" fillId="9" borderId="1" xfId="1" applyNumberFormat="1" applyFont="1" applyFill="1" applyBorder="1" applyAlignment="1">
      <alignment vertical="center"/>
    </xf>
    <xf numFmtId="169" fontId="6" fillId="0" borderId="0" xfId="0" applyNumberFormat="1" applyFont="1" applyFill="1" applyAlignment="1">
      <alignment vertical="center"/>
    </xf>
    <xf numFmtId="169" fontId="5" fillId="9" borderId="1" xfId="1" applyNumberFormat="1" applyFont="1" applyFill="1" applyBorder="1" applyAlignment="1">
      <alignment vertical="center"/>
    </xf>
    <xf numFmtId="169" fontId="6" fillId="0" borderId="1" xfId="1" applyNumberFormat="1" applyFont="1" applyFill="1" applyBorder="1" applyAlignment="1">
      <alignment vertical="center"/>
    </xf>
    <xf numFmtId="169" fontId="5" fillId="9" borderId="1" xfId="0" applyNumberFormat="1" applyFont="1" applyFill="1" applyBorder="1" applyAlignment="1">
      <alignment vertical="center"/>
    </xf>
    <xf numFmtId="169" fontId="6" fillId="9" borderId="1" xfId="0" applyNumberFormat="1" applyFont="1" applyFill="1" applyBorder="1" applyAlignment="1">
      <alignment vertical="top" wrapText="1"/>
    </xf>
    <xf numFmtId="169" fontId="6" fillId="0" borderId="0" xfId="0" applyNumberFormat="1" applyFont="1" applyAlignment="1">
      <alignment vertical="center"/>
    </xf>
    <xf numFmtId="169" fontId="6" fillId="3" borderId="1" xfId="1" applyNumberFormat="1" applyFont="1" applyFill="1" applyBorder="1" applyAlignment="1">
      <alignment vertical="center"/>
    </xf>
    <xf numFmtId="169" fontId="5" fillId="3" borderId="4" xfId="1" applyNumberFormat="1" applyFont="1" applyFill="1" applyBorder="1" applyAlignment="1">
      <alignment vertical="center"/>
    </xf>
    <xf numFmtId="169" fontId="5" fillId="3" borderId="1" xfId="1" applyNumberFormat="1" applyFont="1" applyFill="1" applyBorder="1" applyAlignment="1">
      <alignment vertical="center"/>
    </xf>
    <xf numFmtId="167" fontId="6" fillId="0" borderId="0" xfId="2" applyNumberFormat="1" applyFont="1" applyAlignment="1">
      <alignment vertical="center"/>
    </xf>
    <xf numFmtId="169" fontId="5" fillId="0" borderId="0" xfId="0" applyNumberFormat="1" applyFont="1" applyFill="1" applyAlignment="1">
      <alignment vertical="center"/>
    </xf>
    <xf numFmtId="169" fontId="6" fillId="9" borderId="0" xfId="0" applyNumberFormat="1" applyFont="1" applyFill="1" applyAlignment="1"/>
    <xf numFmtId="167" fontId="6" fillId="9" borderId="1" xfId="2" applyNumberFormat="1" applyFont="1" applyFill="1" applyBorder="1" applyAlignment="1">
      <alignment horizontal="center" vertical="center"/>
    </xf>
    <xf numFmtId="167" fontId="6" fillId="0" borderId="0" xfId="2" applyNumberFormat="1" applyFont="1" applyFill="1" applyAlignment="1">
      <alignment vertical="center"/>
    </xf>
    <xf numFmtId="167" fontId="5" fillId="3" borderId="1" xfId="2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top" wrapText="1"/>
    </xf>
    <xf numFmtId="169" fontId="6" fillId="10" borderId="1" xfId="1" applyNumberFormat="1" applyFont="1" applyFill="1" applyBorder="1" applyAlignment="1">
      <alignment vertical="center"/>
    </xf>
    <xf numFmtId="167" fontId="6" fillId="10" borderId="1" xfId="2" applyNumberFormat="1" applyFont="1" applyFill="1" applyBorder="1" applyAlignment="1">
      <alignment horizontal="center" vertical="center"/>
    </xf>
    <xf numFmtId="169" fontId="5" fillId="10" borderId="1" xfId="1" applyNumberFormat="1" applyFont="1" applyFill="1" applyBorder="1" applyAlignment="1">
      <alignment vertical="center"/>
    </xf>
    <xf numFmtId="167" fontId="5" fillId="10" borderId="1" xfId="2" applyNumberFormat="1" applyFont="1" applyFill="1" applyBorder="1" applyAlignment="1">
      <alignment horizontal="center" vertical="center"/>
    </xf>
    <xf numFmtId="169" fontId="5" fillId="10" borderId="1" xfId="0" applyNumberFormat="1" applyFont="1" applyFill="1" applyBorder="1" applyAlignment="1">
      <alignment vertical="center"/>
    </xf>
    <xf numFmtId="0" fontId="3" fillId="11" borderId="1" xfId="0" applyFont="1" applyFill="1" applyBorder="1" applyAlignment="1">
      <alignment horizontal="center" vertical="top" wrapText="1"/>
    </xf>
    <xf numFmtId="169" fontId="6" fillId="11" borderId="1" xfId="1" applyNumberFormat="1" applyFont="1" applyFill="1" applyBorder="1" applyAlignment="1">
      <alignment vertical="center"/>
    </xf>
    <xf numFmtId="169" fontId="5" fillId="11" borderId="4" xfId="1" applyNumberFormat="1" applyFont="1" applyFill="1" applyBorder="1" applyAlignment="1">
      <alignment vertical="center"/>
    </xf>
    <xf numFmtId="169" fontId="5" fillId="11" borderId="1" xfId="1" applyNumberFormat="1" applyFont="1" applyFill="1" applyBorder="1" applyAlignment="1">
      <alignment vertical="center"/>
    </xf>
    <xf numFmtId="0" fontId="4" fillId="0" borderId="11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6" fillId="0" borderId="9" xfId="0" quotePrefix="1" applyFont="1" applyBorder="1" applyAlignment="1">
      <alignment vertical="center" wrapText="1"/>
    </xf>
    <xf numFmtId="169" fontId="6" fillId="9" borderId="1" xfId="0" applyNumberFormat="1" applyFont="1" applyFill="1" applyBorder="1" applyAlignment="1">
      <alignment vertical="center" wrapText="1"/>
    </xf>
    <xf numFmtId="169" fontId="6" fillId="10" borderId="1" xfId="0" applyNumberFormat="1" applyFont="1" applyFill="1" applyBorder="1" applyAlignment="1">
      <alignment vertical="top" wrapText="1"/>
    </xf>
    <xf numFmtId="0" fontId="6" fillId="9" borderId="1" xfId="0" applyNumberFormat="1" applyFont="1" applyFill="1" applyBorder="1" applyAlignment="1">
      <alignment horizontal="center" vertical="top" wrapText="1"/>
    </xf>
    <xf numFmtId="166" fontId="6" fillId="8" borderId="1" xfId="1" applyNumberFormat="1" applyFont="1" applyFill="1" applyBorder="1" applyAlignment="1">
      <alignment horizontal="right" vertical="center"/>
    </xf>
    <xf numFmtId="166" fontId="6" fillId="8" borderId="1" xfId="0" applyNumberFormat="1" applyFont="1" applyFill="1" applyBorder="1" applyAlignment="1">
      <alignment horizontal="right" vertical="center"/>
    </xf>
    <xf numFmtId="0" fontId="6" fillId="8" borderId="1" xfId="1" applyNumberFormat="1" applyFont="1" applyFill="1" applyBorder="1" applyAlignment="1">
      <alignment horizontal="center" vertical="center"/>
    </xf>
    <xf numFmtId="2" fontId="6" fillId="8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166" fontId="6" fillId="9" borderId="1" xfId="1" applyNumberFormat="1" applyFont="1" applyFill="1" applyBorder="1" applyAlignment="1">
      <alignment horizontal="center" vertical="center"/>
    </xf>
    <xf numFmtId="166" fontId="5" fillId="9" borderId="1" xfId="0" applyNumberFormat="1" applyFont="1" applyFill="1" applyBorder="1" applyAlignment="1">
      <alignment horizontal="center" vertical="center"/>
    </xf>
    <xf numFmtId="164" fontId="5" fillId="9" borderId="1" xfId="0" applyNumberFormat="1" applyFont="1" applyFill="1" applyBorder="1" applyAlignment="1">
      <alignment vertical="center"/>
    </xf>
    <xf numFmtId="3" fontId="6" fillId="3" borderId="1" xfId="1" applyNumberFormat="1" applyFont="1" applyFill="1" applyBorder="1" applyAlignment="1">
      <alignment vertical="center"/>
    </xf>
    <xf numFmtId="3" fontId="5" fillId="3" borderId="4" xfId="1" applyNumberFormat="1" applyFont="1" applyFill="1" applyBorder="1" applyAlignment="1">
      <alignment vertical="center"/>
    </xf>
    <xf numFmtId="3" fontId="6" fillId="0" borderId="0" xfId="0" applyNumberFormat="1" applyFont="1" applyAlignment="1">
      <alignment vertical="center"/>
    </xf>
    <xf numFmtId="3" fontId="5" fillId="3" borderId="1" xfId="1" applyNumberFormat="1" applyFont="1" applyFill="1" applyBorder="1" applyAlignment="1">
      <alignment vertical="center"/>
    </xf>
    <xf numFmtId="3" fontId="6" fillId="11" borderId="1" xfId="1" applyNumberFormat="1" applyFont="1" applyFill="1" applyBorder="1" applyAlignment="1">
      <alignment vertical="center"/>
    </xf>
    <xf numFmtId="3" fontId="5" fillId="11" borderId="4" xfId="1" applyNumberFormat="1" applyFont="1" applyFill="1" applyBorder="1" applyAlignment="1">
      <alignment vertical="center"/>
    </xf>
    <xf numFmtId="3" fontId="5" fillId="11" borderId="1" xfId="1" applyNumberFormat="1" applyFont="1" applyFill="1" applyBorder="1" applyAlignment="1">
      <alignment vertical="center"/>
    </xf>
    <xf numFmtId="0" fontId="6" fillId="0" borderId="2" xfId="0" quotePrefix="1" applyFont="1" applyFill="1" applyBorder="1" applyAlignment="1">
      <alignment vertical="center" wrapText="1"/>
    </xf>
    <xf numFmtId="0" fontId="6" fillId="0" borderId="3" xfId="0" quotePrefix="1" applyFont="1" applyFill="1" applyBorder="1" applyAlignment="1">
      <alignment vertical="center" wrapText="1"/>
    </xf>
    <xf numFmtId="0" fontId="6" fillId="0" borderId="4" xfId="0" quotePrefix="1" applyFont="1" applyFill="1" applyBorder="1" applyAlignment="1">
      <alignment vertical="center" wrapText="1"/>
    </xf>
    <xf numFmtId="0" fontId="5" fillId="5" borderId="6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 wrapText="1"/>
    </xf>
    <xf numFmtId="0" fontId="18" fillId="0" borderId="1" xfId="0" quotePrefix="1" applyFont="1" applyFill="1" applyBorder="1" applyAlignment="1">
      <alignment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6" fillId="0" borderId="1" xfId="0" quotePrefix="1" applyFont="1" applyBorder="1" applyAlignment="1">
      <alignment horizontal="center" vertical="center" wrapText="1"/>
    </xf>
    <xf numFmtId="0" fontId="6" fillId="0" borderId="1" xfId="0" quotePrefix="1" applyFont="1" applyBorder="1" applyAlignment="1">
      <alignment horizontal="left" vertical="center" wrapText="1"/>
    </xf>
    <xf numFmtId="0" fontId="6" fillId="0" borderId="9" xfId="0" quotePrefix="1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6" fillId="0" borderId="2" xfId="0" quotePrefix="1" applyFont="1" applyBorder="1" applyAlignment="1">
      <alignment vertical="center" wrapText="1"/>
    </xf>
    <xf numFmtId="0" fontId="6" fillId="0" borderId="3" xfId="0" quotePrefix="1" applyFont="1" applyBorder="1" applyAlignment="1">
      <alignment vertical="center" wrapText="1"/>
    </xf>
    <xf numFmtId="0" fontId="6" fillId="0" borderId="4" xfId="0" quotePrefix="1" applyFont="1" applyBorder="1" applyAlignment="1">
      <alignment vertical="center" wrapText="1"/>
    </xf>
    <xf numFmtId="0" fontId="6" fillId="0" borderId="9" xfId="0" quotePrefix="1" applyFont="1" applyBorder="1" applyAlignment="1">
      <alignment horizontal="left" vertical="center" wrapText="1"/>
    </xf>
    <xf numFmtId="0" fontId="6" fillId="0" borderId="5" xfId="0" quotePrefix="1" applyFont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top" wrapText="1"/>
    </xf>
    <xf numFmtId="0" fontId="5" fillId="7" borderId="5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164" fontId="6" fillId="10" borderId="1" xfId="1" applyNumberFormat="1" applyFont="1" applyFill="1" applyBorder="1" applyAlignment="1">
      <alignment horizontal="center" vertical="center"/>
    </xf>
    <xf numFmtId="166" fontId="6" fillId="10" borderId="1" xfId="1" applyNumberFormat="1" applyFont="1" applyFill="1" applyBorder="1" applyAlignment="1">
      <alignment horizontal="center" vertical="center"/>
    </xf>
    <xf numFmtId="166" fontId="6" fillId="10" borderId="1" xfId="1" applyNumberFormat="1" applyFont="1" applyFill="1" applyBorder="1" applyAlignment="1">
      <alignment vertical="center"/>
    </xf>
    <xf numFmtId="167" fontId="6" fillId="10" borderId="1" xfId="1" applyNumberFormat="1" applyFont="1" applyFill="1" applyBorder="1" applyAlignment="1">
      <alignment horizontal="center" vertical="center"/>
    </xf>
    <xf numFmtId="164" fontId="5" fillId="10" borderId="1" xfId="1" applyNumberFormat="1" applyFont="1" applyFill="1" applyBorder="1" applyAlignment="1">
      <alignment horizontal="center" vertical="center"/>
    </xf>
    <xf numFmtId="166" fontId="5" fillId="10" borderId="1" xfId="1" applyNumberFormat="1" applyFont="1" applyFill="1" applyBorder="1" applyAlignment="1">
      <alignment vertical="center"/>
    </xf>
    <xf numFmtId="164" fontId="5" fillId="10" borderId="1" xfId="0" applyNumberFormat="1" applyFont="1" applyFill="1" applyBorder="1" applyAlignment="1">
      <alignment vertical="center"/>
    </xf>
    <xf numFmtId="3" fontId="5" fillId="10" borderId="1" xfId="0" applyNumberFormat="1" applyFont="1" applyFill="1" applyBorder="1" applyAlignment="1">
      <alignment vertical="center"/>
    </xf>
    <xf numFmtId="166" fontId="5" fillId="10" borderId="1" xfId="0" applyNumberFormat="1" applyFont="1" applyFill="1" applyBorder="1" applyAlignment="1">
      <alignment vertical="center"/>
    </xf>
  </cellXfs>
  <cellStyles count="3">
    <cellStyle name="Bình thường" xfId="0" builtinId="0"/>
    <cellStyle name="Dấu phẩy" xfId="1" builtinId="3"/>
    <cellStyle name="Phần tră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0</xdr:colOff>
      <xdr:row>7</xdr:row>
      <xdr:rowOff>44823</xdr:rowOff>
    </xdr:from>
    <xdr:to>
      <xdr:col>85</xdr:col>
      <xdr:colOff>515471</xdr:colOff>
      <xdr:row>7</xdr:row>
      <xdr:rowOff>638735</xdr:rowOff>
    </xdr:to>
    <xdr:sp macro="[0]!Trang_tính1.import_data" textlink="">
      <xdr:nvSpPr>
        <xdr:cNvPr id="2" name="Rectangle 1">
          <a:extLst>
            <a:ext uri="{FF2B5EF4-FFF2-40B4-BE49-F238E27FC236}">
              <a16:creationId xmlns:a16="http://schemas.microsoft.com/office/drawing/2014/main" id="{A1E54C36-2291-461B-834A-947146971685}"/>
            </a:ext>
          </a:extLst>
        </xdr:cNvPr>
        <xdr:cNvSpPr/>
      </xdr:nvSpPr>
      <xdr:spPr>
        <a:xfrm>
          <a:off x="12352020" y="852543"/>
          <a:ext cx="515471" cy="5939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85</xdr:col>
      <xdr:colOff>0</xdr:colOff>
      <xdr:row>4</xdr:row>
      <xdr:rowOff>180975</xdr:rowOff>
    </xdr:from>
    <xdr:to>
      <xdr:col>85</xdr:col>
      <xdr:colOff>514350</xdr:colOff>
      <xdr:row>5</xdr:row>
      <xdr:rowOff>409575</xdr:rowOff>
    </xdr:to>
    <xdr:sp macro="[2]!Xoa" textlink="">
      <xdr:nvSpPr>
        <xdr:cNvPr id="3" name="Rectangle 2">
          <a:extLst>
            <a:ext uri="{FF2B5EF4-FFF2-40B4-BE49-F238E27FC236}">
              <a16:creationId xmlns:a16="http://schemas.microsoft.com/office/drawing/2014/main" id="{26E4CB3A-4BD8-4AAE-A89D-8AA095FAF9E2}"/>
            </a:ext>
          </a:extLst>
        </xdr:cNvPr>
        <xdr:cNvSpPr/>
      </xdr:nvSpPr>
      <xdr:spPr>
        <a:xfrm>
          <a:off x="12308205" y="340995"/>
          <a:ext cx="558165" cy="4114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anhnh\Desktop\200312%20TH%20SL,%20DT%20C&#193;C%20NH&#192;%20M&#193;Y%20-%20fin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f1c2def903bf911/CONG%20VIEC/5.%20BAO%20CAO/BC%20CUA%20NHA%20MAY/1.0%20B&#193;O%20C&#193;O%20NG&#192;Y/Daily_production%2025.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ng hop (Value)"/>
      <sheetName val="TH"/>
      <sheetName val="TNN"/>
      <sheetName val="TNN chi tiet"/>
      <sheetName val="KH SL DT"/>
      <sheetName val="KH SL DT - TK"/>
      <sheetName val="GIÁ ĐIỆN"/>
      <sheetName val="GĐ CT"/>
      <sheetName val="TH SL DT"/>
      <sheetName val="TH SL"/>
      <sheetName val="TH DT"/>
      <sheetName val="NQ1"/>
      <sheetName val="NQ2"/>
      <sheetName val="NQ3"/>
      <sheetName val="Nam Muc"/>
      <sheetName val="Van Chan"/>
      <sheetName val="Ba Thuoc 1"/>
      <sheetName val="Ba Thuoc 2"/>
      <sheetName val="Binh Dien"/>
      <sheetName val="Dak Mi 4"/>
      <sheetName val="Ta Trach"/>
      <sheetName val="Dak Srong 2"/>
      <sheetName val="Dak Srong 2A"/>
      <sheetName val="Dak Srong 3A"/>
      <sheetName val="Dak Srong 3B"/>
      <sheetName val="Nhi Ha"/>
      <sheetName val="Long Tao"/>
      <sheetName val="Ho Bon"/>
      <sheetName val="Ho Ho"/>
      <sheetName val="Se San 3A"/>
      <sheetName val="Ea Krong Rou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60">
          <cell r="Q360">
            <v>2446.983455</v>
          </cell>
        </row>
        <row r="361">
          <cell r="Q361">
            <v>4173.5148429999999</v>
          </cell>
        </row>
        <row r="362">
          <cell r="Q362">
            <v>11391.704161999998</v>
          </cell>
        </row>
        <row r="363">
          <cell r="Q363">
            <v>2082.805957</v>
          </cell>
        </row>
        <row r="364">
          <cell r="Q364">
            <v>6600.0833312599998</v>
          </cell>
        </row>
        <row r="365">
          <cell r="Q365">
            <v>5808.7595700000002</v>
          </cell>
        </row>
        <row r="366">
          <cell r="Q366">
            <v>6826.4571297100001</v>
          </cell>
        </row>
        <row r="367">
          <cell r="Q367">
            <v>3714.8572060000001</v>
          </cell>
        </row>
        <row r="368">
          <cell r="Q368">
            <v>14759.328901000001</v>
          </cell>
        </row>
        <row r="369">
          <cell r="Q369">
            <v>8053.6959390000002</v>
          </cell>
        </row>
        <row r="370">
          <cell r="Q370">
            <v>2934.4603259999999</v>
          </cell>
        </row>
        <row r="371">
          <cell r="Q371">
            <v>1432.0171499999999</v>
          </cell>
        </row>
        <row r="372">
          <cell r="Q372">
            <v>2731.7049240000001</v>
          </cell>
        </row>
        <row r="373">
          <cell r="Q373">
            <v>4178.2720140000001</v>
          </cell>
        </row>
        <row r="374">
          <cell r="Q374">
            <v>15431.529354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Daily_production 25.12"/>
    </sheetNames>
    <definedNames>
      <definedName name="Xoa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3A0AE-2BAC-4B97-A50B-3B38CF20DB65}">
  <sheetPr codeName="Sheet2">
    <tabColor rgb="FF00B0F0"/>
    <pageSetUpPr fitToPage="1"/>
  </sheetPr>
  <dimension ref="A1:ADQ102"/>
  <sheetViews>
    <sheetView tabSelected="1" topLeftCell="A4" zoomScale="90" zoomScaleNormal="90" zoomScaleSheetLayoutView="85" workbookViewId="0">
      <selection activeCell="E21" sqref="E21"/>
    </sheetView>
  </sheetViews>
  <sheetFormatPr defaultColWidth="9.109375" defaultRowHeight="13.8" x14ac:dyDescent="0.25"/>
  <cols>
    <col min="1" max="1" width="5" style="2" customWidth="1"/>
    <col min="2" max="2" width="14" style="2" customWidth="1"/>
    <col min="3" max="3" width="9.44140625" style="2" customWidth="1"/>
    <col min="4" max="4" width="11.88671875" style="2" customWidth="1"/>
    <col min="5" max="5" width="10.33203125" style="2" customWidth="1"/>
    <col min="6" max="6" width="11" style="2" customWidth="1"/>
    <col min="7" max="7" width="10.109375" style="2" customWidth="1"/>
    <col min="8" max="8" width="10.6640625" style="2" hidden="1" customWidth="1"/>
    <col min="9" max="9" width="10.44140625" style="2" hidden="1" customWidth="1"/>
    <col min="10" max="10" width="10.109375" style="2" hidden="1" customWidth="1"/>
    <col min="11" max="12" width="10.44140625" style="2" hidden="1" customWidth="1"/>
    <col min="13" max="13" width="10" style="2" hidden="1" customWidth="1"/>
    <col min="14" max="14" width="10.5546875" style="2" hidden="1" customWidth="1"/>
    <col min="15" max="19" width="10" style="2" hidden="1" customWidth="1"/>
    <col min="20" max="20" width="10.88671875" style="2" customWidth="1"/>
    <col min="21" max="21" width="10.77734375" style="2" customWidth="1"/>
    <col min="22" max="22" width="10" style="2" customWidth="1"/>
    <col min="23" max="23" width="10.33203125" style="2" customWidth="1"/>
    <col min="24" max="24" width="10.77734375" style="2" customWidth="1"/>
    <col min="25" max="25" width="10" style="2" customWidth="1"/>
    <col min="26" max="26" width="10.5546875" style="2" hidden="1" customWidth="1"/>
    <col min="27" max="31" width="10" style="2" hidden="1" customWidth="1"/>
    <col min="32" max="32" width="10.6640625" style="2" hidden="1" customWidth="1"/>
    <col min="33" max="37" width="10" style="2" hidden="1" customWidth="1"/>
    <col min="38" max="38" width="10.44140625" style="2" hidden="1" customWidth="1"/>
    <col min="39" max="43" width="10" style="2" hidden="1" customWidth="1"/>
    <col min="44" max="44" width="10.44140625" style="2" hidden="1" customWidth="1"/>
    <col min="45" max="49" width="10" style="2" hidden="1" customWidth="1"/>
    <col min="50" max="50" width="10.44140625" style="2" hidden="1" customWidth="1"/>
    <col min="51" max="55" width="10" style="2" hidden="1" customWidth="1"/>
    <col min="56" max="56" width="10.33203125" style="2" hidden="1" customWidth="1"/>
    <col min="57" max="61" width="10" style="2" hidden="1" customWidth="1"/>
    <col min="62" max="62" width="10.44140625" style="2" hidden="1" customWidth="1"/>
    <col min="63" max="67" width="10" style="2" hidden="1" customWidth="1"/>
    <col min="68" max="68" width="10.6640625" style="2" hidden="1" customWidth="1"/>
    <col min="69" max="73" width="10" style="2" hidden="1" customWidth="1"/>
    <col min="74" max="74" width="10.44140625" style="2" hidden="1" customWidth="1"/>
    <col min="75" max="79" width="10" style="2" hidden="1" customWidth="1"/>
    <col min="80" max="80" width="12.88671875" style="2" customWidth="1"/>
    <col min="81" max="81" width="12.109375" style="2" customWidth="1"/>
    <col min="82" max="82" width="12.6640625" style="2" customWidth="1"/>
    <col min="83" max="83" width="11" style="2" customWidth="1"/>
    <col min="84" max="84" width="11.44140625" style="2" customWidth="1"/>
    <col min="85" max="85" width="11" style="2" customWidth="1"/>
    <col min="86" max="86" width="12.6640625" style="41" customWidth="1"/>
    <col min="87" max="16384" width="9.109375" style="2"/>
  </cols>
  <sheetData>
    <row r="1" spans="1:797" ht="15.6" hidden="1" x14ac:dyDescent="0.25">
      <c r="A1" s="7" t="s">
        <v>0</v>
      </c>
      <c r="B1" s="7"/>
      <c r="C1" s="7"/>
      <c r="D1" s="7"/>
      <c r="E1" s="7"/>
      <c r="F1" s="7"/>
      <c r="G1" s="7"/>
    </row>
    <row r="2" spans="1:797" ht="15.6" hidden="1" x14ac:dyDescent="0.25">
      <c r="A2" s="8" t="s">
        <v>1</v>
      </c>
      <c r="B2" s="7"/>
      <c r="C2" s="7"/>
      <c r="D2" s="7"/>
      <c r="E2" s="7"/>
      <c r="F2" s="7"/>
      <c r="G2" s="7"/>
    </row>
    <row r="3" spans="1:797" s="9" customFormat="1" ht="35.25" hidden="1" customHeight="1" x14ac:dyDescent="0.3">
      <c r="A3" s="167" t="s">
        <v>2</v>
      </c>
      <c r="B3" s="168"/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68"/>
      <c r="AE3" s="168"/>
      <c r="AF3" s="168"/>
      <c r="AG3" s="168"/>
      <c r="AH3" s="168"/>
      <c r="AI3" s="168"/>
      <c r="AJ3" s="168"/>
      <c r="AK3" s="168"/>
      <c r="AL3" s="168"/>
      <c r="AM3" s="168"/>
      <c r="AN3" s="168"/>
      <c r="AO3" s="168"/>
      <c r="AP3" s="168"/>
      <c r="AQ3" s="168"/>
      <c r="AR3" s="168"/>
      <c r="AS3" s="168"/>
      <c r="AT3" s="168"/>
      <c r="AU3" s="168"/>
      <c r="AV3" s="168"/>
      <c r="AW3" s="168"/>
      <c r="AX3" s="168"/>
      <c r="AY3" s="168"/>
      <c r="AZ3" s="168"/>
      <c r="BA3" s="168"/>
      <c r="BB3" s="168"/>
      <c r="BC3" s="168"/>
      <c r="BD3" s="168"/>
      <c r="BE3" s="168"/>
      <c r="BF3" s="168"/>
      <c r="BG3" s="168"/>
      <c r="BH3" s="168"/>
      <c r="BI3" s="168"/>
      <c r="BJ3" s="168"/>
      <c r="BK3" s="168"/>
      <c r="BL3" s="168"/>
      <c r="BM3" s="168"/>
      <c r="BN3" s="168"/>
      <c r="BO3" s="168"/>
      <c r="BP3" s="168"/>
      <c r="BQ3" s="168"/>
      <c r="BR3" s="168"/>
      <c r="BS3" s="168"/>
      <c r="BT3" s="168"/>
      <c r="BU3" s="168"/>
      <c r="BV3" s="168"/>
      <c r="BW3" s="168"/>
      <c r="BX3" s="168"/>
      <c r="BY3" s="168"/>
      <c r="BZ3" s="168"/>
      <c r="CA3" s="168"/>
      <c r="CB3" s="168"/>
      <c r="CC3" s="168"/>
      <c r="CD3" s="168"/>
      <c r="CE3" s="168"/>
      <c r="CF3" s="168"/>
      <c r="CG3" s="168"/>
      <c r="CH3" s="42"/>
    </row>
    <row r="4" spans="1:797" s="1" customFormat="1" ht="19.8" customHeight="1" x14ac:dyDescent="0.3">
      <c r="B4" s="119" t="s">
        <v>104</v>
      </c>
      <c r="G4" s="169"/>
      <c r="H4" s="169"/>
      <c r="CB4" s="3"/>
      <c r="CD4" s="3"/>
      <c r="CF4" s="3"/>
      <c r="CG4" s="3"/>
      <c r="CH4" s="43"/>
    </row>
    <row r="5" spans="1:797" s="11" customFormat="1" ht="18.600000000000001" customHeight="1" x14ac:dyDescent="0.3">
      <c r="A5" s="4" t="s">
        <v>3</v>
      </c>
      <c r="B5" s="10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1"/>
      <c r="CD5" s="4"/>
      <c r="CE5" s="1"/>
      <c r="CF5" s="4"/>
      <c r="CG5" s="4"/>
      <c r="CH5" s="44"/>
    </row>
    <row r="6" spans="1:797" s="11" customFormat="1" ht="20.399999999999999" customHeight="1" x14ac:dyDescent="0.3">
      <c r="A6" s="170" t="s">
        <v>4</v>
      </c>
      <c r="B6" s="170" t="s">
        <v>5</v>
      </c>
      <c r="C6" s="133" t="s">
        <v>102</v>
      </c>
      <c r="D6" s="134"/>
      <c r="E6" s="137" t="s">
        <v>6</v>
      </c>
      <c r="F6" s="138"/>
      <c r="G6" s="139"/>
      <c r="H6" s="151" t="s">
        <v>7</v>
      </c>
      <c r="I6" s="152"/>
      <c r="J6" s="152"/>
      <c r="K6" s="152"/>
      <c r="L6" s="152"/>
      <c r="M6" s="153"/>
      <c r="N6" s="151" t="s">
        <v>8</v>
      </c>
      <c r="O6" s="152"/>
      <c r="P6" s="152"/>
      <c r="Q6" s="152"/>
      <c r="R6" s="152"/>
      <c r="S6" s="153"/>
      <c r="T6" s="151" t="s">
        <v>9</v>
      </c>
      <c r="U6" s="152"/>
      <c r="V6" s="152"/>
      <c r="W6" s="152"/>
      <c r="X6" s="152"/>
      <c r="Y6" s="153"/>
      <c r="Z6" s="151" t="s">
        <v>10</v>
      </c>
      <c r="AA6" s="152"/>
      <c r="AB6" s="152"/>
      <c r="AC6" s="152"/>
      <c r="AD6" s="152"/>
      <c r="AE6" s="153"/>
      <c r="AF6" s="151" t="s">
        <v>11</v>
      </c>
      <c r="AG6" s="152"/>
      <c r="AH6" s="152"/>
      <c r="AI6" s="152"/>
      <c r="AJ6" s="152"/>
      <c r="AK6" s="153"/>
      <c r="AL6" s="151" t="s">
        <v>12</v>
      </c>
      <c r="AM6" s="152"/>
      <c r="AN6" s="152"/>
      <c r="AO6" s="152"/>
      <c r="AP6" s="152"/>
      <c r="AQ6" s="153"/>
      <c r="AR6" s="151" t="s">
        <v>13</v>
      </c>
      <c r="AS6" s="152"/>
      <c r="AT6" s="152"/>
      <c r="AU6" s="152"/>
      <c r="AV6" s="152"/>
      <c r="AW6" s="153"/>
      <c r="AX6" s="151" t="s">
        <v>14</v>
      </c>
      <c r="AY6" s="152"/>
      <c r="AZ6" s="152"/>
      <c r="BA6" s="152"/>
      <c r="BB6" s="152"/>
      <c r="BC6" s="153"/>
      <c r="BD6" s="151" t="s">
        <v>15</v>
      </c>
      <c r="BE6" s="152"/>
      <c r="BF6" s="152"/>
      <c r="BG6" s="152"/>
      <c r="BH6" s="152"/>
      <c r="BI6" s="153"/>
      <c r="BJ6" s="151" t="s">
        <v>16</v>
      </c>
      <c r="BK6" s="152"/>
      <c r="BL6" s="152"/>
      <c r="BM6" s="152"/>
      <c r="BN6" s="152"/>
      <c r="BO6" s="153"/>
      <c r="BP6" s="151" t="s">
        <v>17</v>
      </c>
      <c r="BQ6" s="152"/>
      <c r="BR6" s="152"/>
      <c r="BS6" s="152"/>
      <c r="BT6" s="152"/>
      <c r="BU6" s="153"/>
      <c r="BV6" s="151" t="s">
        <v>18</v>
      </c>
      <c r="BW6" s="152"/>
      <c r="BX6" s="152"/>
      <c r="BY6" s="152"/>
      <c r="BZ6" s="152"/>
      <c r="CA6" s="153"/>
      <c r="CB6" s="145" t="s">
        <v>19</v>
      </c>
      <c r="CC6" s="146"/>
      <c r="CD6" s="146"/>
      <c r="CE6" s="146"/>
      <c r="CF6" s="146"/>
      <c r="CG6" s="147"/>
      <c r="CH6" s="44"/>
    </row>
    <row r="7" spans="1:797" s="11" customFormat="1" ht="19.2" customHeight="1" x14ac:dyDescent="0.3">
      <c r="A7" s="170"/>
      <c r="B7" s="170"/>
      <c r="C7" s="135"/>
      <c r="D7" s="136"/>
      <c r="E7" s="140"/>
      <c r="F7" s="141"/>
      <c r="G7" s="142"/>
      <c r="H7" s="154" t="s">
        <v>20</v>
      </c>
      <c r="I7" s="154"/>
      <c r="J7" s="154"/>
      <c r="K7" s="151" t="s">
        <v>21</v>
      </c>
      <c r="L7" s="152"/>
      <c r="M7" s="153"/>
      <c r="N7" s="154" t="s">
        <v>20</v>
      </c>
      <c r="O7" s="154"/>
      <c r="P7" s="154"/>
      <c r="Q7" s="155" t="s">
        <v>21</v>
      </c>
      <c r="R7" s="156"/>
      <c r="S7" s="157"/>
      <c r="T7" s="154" t="s">
        <v>20</v>
      </c>
      <c r="U7" s="154"/>
      <c r="V7" s="154"/>
      <c r="W7" s="155" t="s">
        <v>21</v>
      </c>
      <c r="X7" s="156"/>
      <c r="Y7" s="157"/>
      <c r="Z7" s="154" t="s">
        <v>20</v>
      </c>
      <c r="AA7" s="154"/>
      <c r="AB7" s="154"/>
      <c r="AC7" s="151" t="s">
        <v>21</v>
      </c>
      <c r="AD7" s="152"/>
      <c r="AE7" s="153"/>
      <c r="AF7" s="154" t="s">
        <v>20</v>
      </c>
      <c r="AG7" s="154"/>
      <c r="AH7" s="154"/>
      <c r="AI7" s="151" t="s">
        <v>21</v>
      </c>
      <c r="AJ7" s="152"/>
      <c r="AK7" s="153"/>
      <c r="AL7" s="154" t="s">
        <v>20</v>
      </c>
      <c r="AM7" s="154"/>
      <c r="AN7" s="154"/>
      <c r="AO7" s="151" t="s">
        <v>21</v>
      </c>
      <c r="AP7" s="152"/>
      <c r="AQ7" s="153"/>
      <c r="AR7" s="154" t="s">
        <v>20</v>
      </c>
      <c r="AS7" s="154"/>
      <c r="AT7" s="154"/>
      <c r="AU7" s="151" t="s">
        <v>21</v>
      </c>
      <c r="AV7" s="152"/>
      <c r="AW7" s="153"/>
      <c r="AX7" s="154" t="s">
        <v>20</v>
      </c>
      <c r="AY7" s="154"/>
      <c r="AZ7" s="154"/>
      <c r="BA7" s="151" t="s">
        <v>21</v>
      </c>
      <c r="BB7" s="152"/>
      <c r="BC7" s="153"/>
      <c r="BD7" s="154" t="s">
        <v>20</v>
      </c>
      <c r="BE7" s="154"/>
      <c r="BF7" s="154"/>
      <c r="BG7" s="151" t="s">
        <v>21</v>
      </c>
      <c r="BH7" s="152"/>
      <c r="BI7" s="153"/>
      <c r="BJ7" s="154" t="s">
        <v>20</v>
      </c>
      <c r="BK7" s="154"/>
      <c r="BL7" s="154"/>
      <c r="BM7" s="151" t="s">
        <v>21</v>
      </c>
      <c r="BN7" s="152"/>
      <c r="BO7" s="153"/>
      <c r="BP7" s="154" t="s">
        <v>20</v>
      </c>
      <c r="BQ7" s="154"/>
      <c r="BR7" s="154"/>
      <c r="BS7" s="151" t="s">
        <v>21</v>
      </c>
      <c r="BT7" s="152"/>
      <c r="BU7" s="153"/>
      <c r="BV7" s="154" t="s">
        <v>20</v>
      </c>
      <c r="BW7" s="154"/>
      <c r="BX7" s="154"/>
      <c r="BY7" s="151" t="s">
        <v>21</v>
      </c>
      <c r="BZ7" s="152"/>
      <c r="CA7" s="153"/>
      <c r="CB7" s="145" t="s">
        <v>20</v>
      </c>
      <c r="CC7" s="147"/>
      <c r="CD7" s="148" t="s">
        <v>21</v>
      </c>
      <c r="CE7" s="149"/>
      <c r="CF7" s="150" t="s">
        <v>22</v>
      </c>
      <c r="CG7" s="147"/>
      <c r="CH7" s="44"/>
    </row>
    <row r="8" spans="1:797" s="13" customFormat="1" ht="103.2" customHeight="1" x14ac:dyDescent="0.3">
      <c r="A8" s="170"/>
      <c r="B8" s="170"/>
      <c r="C8" s="49" t="s">
        <v>23</v>
      </c>
      <c r="D8" s="49" t="s">
        <v>97</v>
      </c>
      <c r="E8" s="12" t="s">
        <v>24</v>
      </c>
      <c r="F8" s="12" t="s">
        <v>103</v>
      </c>
      <c r="G8" s="12" t="s">
        <v>25</v>
      </c>
      <c r="H8" s="56" t="s">
        <v>98</v>
      </c>
      <c r="I8" s="56" t="s">
        <v>99</v>
      </c>
      <c r="J8" s="56" t="s">
        <v>100</v>
      </c>
      <c r="K8" s="56" t="s">
        <v>101</v>
      </c>
      <c r="L8" s="56" t="s">
        <v>99</v>
      </c>
      <c r="M8" s="56" t="s">
        <v>100</v>
      </c>
      <c r="N8" s="56" t="s">
        <v>98</v>
      </c>
      <c r="O8" s="56" t="s">
        <v>26</v>
      </c>
      <c r="P8" s="56" t="s">
        <v>27</v>
      </c>
      <c r="Q8" s="99" t="s">
        <v>98</v>
      </c>
      <c r="R8" s="99" t="s">
        <v>26</v>
      </c>
      <c r="S8" s="99" t="s">
        <v>27</v>
      </c>
      <c r="T8" s="56" t="s">
        <v>98</v>
      </c>
      <c r="U8" s="56" t="s">
        <v>26</v>
      </c>
      <c r="V8" s="56" t="s">
        <v>27</v>
      </c>
      <c r="W8" s="99" t="s">
        <v>98</v>
      </c>
      <c r="X8" s="99" t="s">
        <v>26</v>
      </c>
      <c r="Y8" s="99" t="s">
        <v>27</v>
      </c>
      <c r="Z8" s="56" t="s">
        <v>98</v>
      </c>
      <c r="AA8" s="56" t="s">
        <v>26</v>
      </c>
      <c r="AB8" s="56" t="s">
        <v>27</v>
      </c>
      <c r="AC8" s="56" t="s">
        <v>98</v>
      </c>
      <c r="AD8" s="56" t="s">
        <v>26</v>
      </c>
      <c r="AE8" s="56" t="s">
        <v>27</v>
      </c>
      <c r="AF8" s="56" t="s">
        <v>98</v>
      </c>
      <c r="AG8" s="56" t="s">
        <v>26</v>
      </c>
      <c r="AH8" s="56" t="s">
        <v>27</v>
      </c>
      <c r="AI8" s="56" t="s">
        <v>98</v>
      </c>
      <c r="AJ8" s="56" t="s">
        <v>26</v>
      </c>
      <c r="AK8" s="56" t="s">
        <v>27</v>
      </c>
      <c r="AL8" s="56" t="s">
        <v>98</v>
      </c>
      <c r="AM8" s="56" t="s">
        <v>26</v>
      </c>
      <c r="AN8" s="56" t="s">
        <v>27</v>
      </c>
      <c r="AO8" s="56" t="s">
        <v>98</v>
      </c>
      <c r="AP8" s="56" t="s">
        <v>26</v>
      </c>
      <c r="AQ8" s="56" t="s">
        <v>27</v>
      </c>
      <c r="AR8" s="56" t="s">
        <v>98</v>
      </c>
      <c r="AS8" s="56" t="s">
        <v>26</v>
      </c>
      <c r="AT8" s="56" t="s">
        <v>27</v>
      </c>
      <c r="AU8" s="56" t="s">
        <v>98</v>
      </c>
      <c r="AV8" s="56" t="s">
        <v>26</v>
      </c>
      <c r="AW8" s="56" t="s">
        <v>27</v>
      </c>
      <c r="AX8" s="56" t="s">
        <v>98</v>
      </c>
      <c r="AY8" s="56" t="s">
        <v>26</v>
      </c>
      <c r="AZ8" s="56" t="s">
        <v>27</v>
      </c>
      <c r="BA8" s="56" t="s">
        <v>98</v>
      </c>
      <c r="BB8" s="56" t="s">
        <v>26</v>
      </c>
      <c r="BC8" s="56" t="s">
        <v>27</v>
      </c>
      <c r="BD8" s="56" t="s">
        <v>98</v>
      </c>
      <c r="BE8" s="56" t="s">
        <v>26</v>
      </c>
      <c r="BF8" s="56" t="s">
        <v>27</v>
      </c>
      <c r="BG8" s="56" t="s">
        <v>98</v>
      </c>
      <c r="BH8" s="56" t="s">
        <v>26</v>
      </c>
      <c r="BI8" s="56" t="s">
        <v>27</v>
      </c>
      <c r="BJ8" s="56" t="s">
        <v>98</v>
      </c>
      <c r="BK8" s="56" t="s">
        <v>26</v>
      </c>
      <c r="BL8" s="56" t="s">
        <v>27</v>
      </c>
      <c r="BM8" s="56" t="s">
        <v>98</v>
      </c>
      <c r="BN8" s="56" t="s">
        <v>26</v>
      </c>
      <c r="BO8" s="56" t="s">
        <v>27</v>
      </c>
      <c r="BP8" s="56" t="s">
        <v>98</v>
      </c>
      <c r="BQ8" s="56" t="s">
        <v>26</v>
      </c>
      <c r="BR8" s="56" t="s">
        <v>27</v>
      </c>
      <c r="BS8" s="56" t="s">
        <v>98</v>
      </c>
      <c r="BT8" s="56" t="s">
        <v>26</v>
      </c>
      <c r="BU8" s="56" t="s">
        <v>27</v>
      </c>
      <c r="BV8" s="56" t="s">
        <v>98</v>
      </c>
      <c r="BW8" s="56" t="s">
        <v>26</v>
      </c>
      <c r="BX8" s="56" t="s">
        <v>27</v>
      </c>
      <c r="BY8" s="56" t="s">
        <v>98</v>
      </c>
      <c r="BZ8" s="56" t="s">
        <v>26</v>
      </c>
      <c r="CA8" s="56" t="s">
        <v>27</v>
      </c>
      <c r="CB8" s="12" t="s">
        <v>28</v>
      </c>
      <c r="CC8" s="12" t="s">
        <v>29</v>
      </c>
      <c r="CD8" s="105" t="s">
        <v>30</v>
      </c>
      <c r="CE8" s="105" t="s">
        <v>31</v>
      </c>
      <c r="CF8" s="12" t="s">
        <v>32</v>
      </c>
      <c r="CG8" s="12" t="s">
        <v>33</v>
      </c>
      <c r="CH8" s="45"/>
    </row>
    <row r="9" spans="1:797" s="5" customFormat="1" ht="19.8" customHeight="1" x14ac:dyDescent="0.3">
      <c r="A9" s="14" t="s">
        <v>34</v>
      </c>
      <c r="B9" s="4" t="s">
        <v>35</v>
      </c>
      <c r="C9" s="4"/>
      <c r="D9" s="4"/>
      <c r="E9" s="4"/>
      <c r="F9" s="4"/>
      <c r="G9" s="4"/>
      <c r="H9" s="50"/>
      <c r="I9" s="46"/>
      <c r="J9" s="46"/>
      <c r="K9" s="46"/>
      <c r="L9" s="46"/>
      <c r="M9" s="46"/>
      <c r="N9" s="50"/>
      <c r="O9" s="46"/>
      <c r="P9" s="46"/>
      <c r="Q9" s="46"/>
      <c r="R9" s="46"/>
      <c r="S9" s="46"/>
      <c r="T9" s="50"/>
      <c r="U9" s="46"/>
      <c r="V9" s="46"/>
      <c r="W9" s="46"/>
      <c r="X9" s="46"/>
      <c r="Y9" s="46"/>
      <c r="Z9" s="50"/>
      <c r="AA9" s="46"/>
      <c r="AB9" s="46"/>
      <c r="AC9" s="46"/>
      <c r="AD9" s="46"/>
      <c r="AE9" s="46"/>
      <c r="AF9" s="50"/>
      <c r="AG9" s="46"/>
      <c r="AH9" s="46"/>
      <c r="AI9" s="46"/>
      <c r="AJ9" s="46"/>
      <c r="AK9" s="46"/>
      <c r="AL9" s="50"/>
      <c r="AM9" s="46"/>
      <c r="AN9" s="46"/>
      <c r="AO9" s="46"/>
      <c r="AP9" s="46"/>
      <c r="AQ9" s="46"/>
      <c r="AR9" s="50"/>
      <c r="AS9" s="46"/>
      <c r="AT9" s="46"/>
      <c r="AU9" s="46"/>
      <c r="AV9" s="46"/>
      <c r="AW9" s="46"/>
      <c r="AX9" s="50"/>
      <c r="AY9" s="46"/>
      <c r="AZ9" s="46"/>
      <c r="BA9" s="46"/>
      <c r="BB9" s="46"/>
      <c r="BC9" s="46"/>
      <c r="BD9" s="50"/>
      <c r="BE9" s="46"/>
      <c r="BF9" s="46"/>
      <c r="BG9" s="46"/>
      <c r="BH9" s="46"/>
      <c r="BI9" s="46"/>
      <c r="BJ9" s="50"/>
      <c r="BK9" s="46"/>
      <c r="BL9" s="46"/>
      <c r="BM9" s="46"/>
      <c r="BN9" s="46"/>
      <c r="BO9" s="46"/>
      <c r="BP9" s="50"/>
      <c r="BQ9" s="46"/>
      <c r="BR9" s="46"/>
      <c r="BS9" s="46"/>
      <c r="BT9" s="46"/>
      <c r="BU9" s="46"/>
      <c r="BV9" s="50"/>
      <c r="BW9" s="46"/>
      <c r="BX9" s="46"/>
      <c r="BY9" s="46"/>
      <c r="BZ9" s="46"/>
      <c r="CA9" s="46"/>
      <c r="CH9" s="46"/>
    </row>
    <row r="10" spans="1:797" ht="16.5" customHeight="1" x14ac:dyDescent="0.25">
      <c r="A10" s="15">
        <v>1</v>
      </c>
      <c r="B10" s="32" t="s">
        <v>36</v>
      </c>
      <c r="C10" s="71">
        <v>461.53</v>
      </c>
      <c r="D10" s="72">
        <v>2.8746913580236457</v>
      </c>
      <c r="E10" s="70">
        <v>0</v>
      </c>
      <c r="F10" s="70">
        <v>0</v>
      </c>
      <c r="G10" s="70" t="s">
        <v>96</v>
      </c>
      <c r="H10" s="83">
        <v>4200</v>
      </c>
      <c r="I10" s="83">
        <v>2250.9740000000002</v>
      </c>
      <c r="J10" s="69">
        <f>I10/H10</f>
        <v>0.53594619047619052</v>
      </c>
      <c r="K10" s="83">
        <v>3893.91408</v>
      </c>
      <c r="L10" s="83">
        <v>2456.5214099999998</v>
      </c>
      <c r="M10" s="69">
        <f>L10/K10</f>
        <v>0.63086173950710278</v>
      </c>
      <c r="N10" s="83">
        <v>3750</v>
      </c>
      <c r="O10" s="83">
        <v>2214.625</v>
      </c>
      <c r="P10" s="96">
        <f>O10/N10</f>
        <v>0.59056666666666668</v>
      </c>
      <c r="Q10" s="100">
        <v>3454.33275</v>
      </c>
      <c r="R10" s="100">
        <f>'[1]TH SL DT'!Q360</f>
        <v>2446.983455</v>
      </c>
      <c r="S10" s="101">
        <f>R10/Q10</f>
        <v>0.70838093261281787</v>
      </c>
      <c r="T10" s="57">
        <v>3650</v>
      </c>
      <c r="U10" s="120">
        <v>1129.7000000000012</v>
      </c>
      <c r="V10" s="96">
        <f>U10/T10</f>
        <v>0.30950684931506883</v>
      </c>
      <c r="W10" s="174">
        <v>3473.08815</v>
      </c>
      <c r="X10" s="175">
        <v>1238.6578710000001</v>
      </c>
      <c r="Y10" s="101">
        <f>X10/W10</f>
        <v>0.3566445242686973</v>
      </c>
      <c r="Z10" s="57">
        <v>3750</v>
      </c>
      <c r="AA10" s="58"/>
      <c r="AB10" s="59">
        <f>AA10/Z10</f>
        <v>0</v>
      </c>
      <c r="AC10" s="83">
        <v>4126.4527500000004</v>
      </c>
      <c r="AD10" s="59"/>
      <c r="AE10" s="59">
        <f>AD10/AC10</f>
        <v>0</v>
      </c>
      <c r="AF10" s="57">
        <v>4400</v>
      </c>
      <c r="AG10" s="58"/>
      <c r="AH10" s="59">
        <f>AG10/AF10</f>
        <v>0</v>
      </c>
      <c r="AI10" s="59">
        <v>4868.1837599999999</v>
      </c>
      <c r="AJ10" s="59"/>
      <c r="AK10" s="59">
        <f>AJ10/AI10</f>
        <v>0</v>
      </c>
      <c r="AL10" s="57">
        <v>15200</v>
      </c>
      <c r="AM10" s="58"/>
      <c r="AN10" s="59">
        <f>AM10/AL10</f>
        <v>0</v>
      </c>
      <c r="AO10" s="83">
        <v>16792.557383174691</v>
      </c>
      <c r="AP10" s="59"/>
      <c r="AQ10" s="59">
        <f>AP10/AO10</f>
        <v>0</v>
      </c>
      <c r="AR10" s="57">
        <v>20300</v>
      </c>
      <c r="AS10" s="58"/>
      <c r="AT10" s="59">
        <f>AS10/AR10</f>
        <v>0</v>
      </c>
      <c r="AU10" s="83">
        <v>22202.564367259107</v>
      </c>
      <c r="AV10" s="59"/>
      <c r="AW10" s="59">
        <f>AV10/AU10</f>
        <v>0</v>
      </c>
      <c r="AX10" s="57">
        <v>20500</v>
      </c>
      <c r="AY10" s="58"/>
      <c r="AZ10" s="59">
        <f>AY10/AX10</f>
        <v>0</v>
      </c>
      <c r="BA10" s="83">
        <v>22237.43101148208</v>
      </c>
      <c r="BB10" s="59"/>
      <c r="BC10" s="59">
        <f>BB10/BA10</f>
        <v>0</v>
      </c>
      <c r="BD10" s="57">
        <v>17200</v>
      </c>
      <c r="BE10" s="58"/>
      <c r="BF10" s="59">
        <f>BE10/BD10</f>
        <v>0</v>
      </c>
      <c r="BG10" s="83">
        <v>18888.483086327022</v>
      </c>
      <c r="BH10" s="59"/>
      <c r="BI10" s="59">
        <f>BH10/BG10</f>
        <v>0</v>
      </c>
      <c r="BJ10" s="57">
        <v>7400</v>
      </c>
      <c r="BK10" s="58"/>
      <c r="BL10" s="59">
        <f>BK10/BJ10</f>
        <v>0</v>
      </c>
      <c r="BM10" s="83">
        <v>8272.280669492493</v>
      </c>
      <c r="BN10" s="59"/>
      <c r="BO10" s="59">
        <f>BN10/BM10</f>
        <v>0</v>
      </c>
      <c r="BP10" s="57">
        <v>4750</v>
      </c>
      <c r="BQ10" s="58"/>
      <c r="BR10" s="59">
        <f>BQ10/BP10</f>
        <v>0</v>
      </c>
      <c r="BS10" s="83">
        <v>5237.7726764453173</v>
      </c>
      <c r="BT10" s="59"/>
      <c r="BU10" s="59">
        <f>BT10/BS10</f>
        <v>0</v>
      </c>
      <c r="BV10" s="57">
        <v>3200</v>
      </c>
      <c r="BW10" s="58"/>
      <c r="BX10" s="59">
        <f>BW10/BV10</f>
        <v>0</v>
      </c>
      <c r="BY10" s="83">
        <v>3509.9135999999999</v>
      </c>
      <c r="BZ10" s="59"/>
      <c r="CA10" s="59">
        <f>BZ10/BY10</f>
        <v>0</v>
      </c>
      <c r="CB10" s="123">
        <f>H10+N10+T10+Z10+AF10+AL10+AR10+AX10+BD10+BJ10+BP10+BV10</f>
        <v>108300</v>
      </c>
      <c r="CC10" s="90">
        <f>I10+O10+U10+AA10+AG10+AM10+AS10+AY10+BE10+BK10+BQ10+BW10</f>
        <v>5595.2990000000009</v>
      </c>
      <c r="CD10" s="127">
        <f>K10+Q10+W10+AC10+AI10+AO10+AU10+BA10+BG10+BM10+BS10+BY10</f>
        <v>116956.9742841807</v>
      </c>
      <c r="CE10" s="106">
        <f>L10+R10+X10+AD10+AJ10+AP10+AV10+BB10+BH10+BN10+BT10+BZ10</f>
        <v>6142.1627360000002</v>
      </c>
      <c r="CF10" s="52">
        <f>CC10/CB10</f>
        <v>5.1664810710988003E-2</v>
      </c>
      <c r="CG10" s="52">
        <f>CE10/CD10</f>
        <v>5.2516429854587758E-2</v>
      </c>
      <c r="CH10" s="47"/>
      <c r="ADQ10" s="2">
        <v>719.6</v>
      </c>
    </row>
    <row r="11" spans="1:797" s="5" customFormat="1" ht="16.5" customHeight="1" x14ac:dyDescent="0.3">
      <c r="A11" s="15">
        <f>A10+1</f>
        <v>2</v>
      </c>
      <c r="B11" s="32" t="s">
        <v>37</v>
      </c>
      <c r="C11" s="71">
        <v>421.9</v>
      </c>
      <c r="D11" s="72">
        <v>0</v>
      </c>
      <c r="E11" s="70">
        <v>0</v>
      </c>
      <c r="F11" s="70">
        <v>0</v>
      </c>
      <c r="G11" s="70" t="s">
        <v>96</v>
      </c>
      <c r="H11" s="83">
        <v>13851</v>
      </c>
      <c r="I11" s="83">
        <v>4236.2939999999999</v>
      </c>
      <c r="J11" s="69">
        <f t="shared" ref="J11:J19" si="0">I11/H11</f>
        <v>0.30584752003465454</v>
      </c>
      <c r="K11" s="83">
        <v>13264.818517710484</v>
      </c>
      <c r="L11" s="83">
        <v>4082.1004320000002</v>
      </c>
      <c r="M11" s="69">
        <f t="shared" ref="M11:M19" si="1">L11/K11</f>
        <v>0.30773888286144252</v>
      </c>
      <c r="N11" s="95">
        <v>6896</v>
      </c>
      <c r="O11" s="83">
        <v>4285.3990000000003</v>
      </c>
      <c r="P11" s="96">
        <f t="shared" ref="P11:P20" si="2">O11/N11</f>
        <v>0.62143256960556847</v>
      </c>
      <c r="Q11" s="100">
        <v>6568.4860634142005</v>
      </c>
      <c r="R11" s="100">
        <f>'[1]TH SL DT'!Q361</f>
        <v>4173.5148429999999</v>
      </c>
      <c r="S11" s="101">
        <f t="shared" ref="S11:S20" si="3">R11/Q11</f>
        <v>0.63538459284340321</v>
      </c>
      <c r="T11" s="57">
        <v>7371</v>
      </c>
      <c r="U11" s="120">
        <v>2279.8000000000002</v>
      </c>
      <c r="V11" s="96">
        <f t="shared" ref="V11:V20" si="4">U11/T11</f>
        <v>0.30929317595984263</v>
      </c>
      <c r="W11" s="174">
        <v>7233.6652089363388</v>
      </c>
      <c r="X11" s="175">
        <v>2236.5472956000003</v>
      </c>
      <c r="Y11" s="101">
        <f t="shared" ref="Y11:Y20" si="5">X11/W11</f>
        <v>0.30918590106119515</v>
      </c>
      <c r="Z11" s="60">
        <v>7714</v>
      </c>
      <c r="AA11" s="58"/>
      <c r="AB11" s="59">
        <f t="shared" ref="AB11:AB20" si="6">AA11/Z11</f>
        <v>0</v>
      </c>
      <c r="AC11" s="83">
        <v>7509.5069622995788</v>
      </c>
      <c r="AD11" s="59"/>
      <c r="AE11" s="59">
        <f t="shared" ref="AE11:AE20" si="7">AD11/AC11</f>
        <v>0</v>
      </c>
      <c r="AF11" s="57">
        <v>7590</v>
      </c>
      <c r="AG11" s="58"/>
      <c r="AH11" s="59">
        <f t="shared" ref="AH11:AH20" si="8">AG11/AF11</f>
        <v>0</v>
      </c>
      <c r="AI11" s="59">
        <v>7442.8662424485719</v>
      </c>
      <c r="AJ11" s="59"/>
      <c r="AK11" s="59">
        <f t="shared" ref="AK11:AK20" si="9">AJ11/AI11</f>
        <v>0</v>
      </c>
      <c r="AL11" s="57">
        <v>29851</v>
      </c>
      <c r="AM11" s="58"/>
      <c r="AN11" s="59">
        <f t="shared" ref="AN11:AN20" si="10">AM11/AL11</f>
        <v>0</v>
      </c>
      <c r="AO11" s="83">
        <v>29249.54620869413</v>
      </c>
      <c r="AP11" s="59"/>
      <c r="AQ11" s="59">
        <f t="shared" ref="AQ11:AQ20" si="11">AP11/AO11</f>
        <v>0</v>
      </c>
      <c r="AR11" s="57">
        <v>36603</v>
      </c>
      <c r="AS11" s="58"/>
      <c r="AT11" s="59">
        <f t="shared" ref="AT11:AT20" si="12">AS11/AR11</f>
        <v>0</v>
      </c>
      <c r="AU11" s="83">
        <v>39716.797636798117</v>
      </c>
      <c r="AV11" s="59"/>
      <c r="AW11" s="59">
        <f t="shared" ref="AW11:AW20" si="13">AV11/AU11</f>
        <v>0</v>
      </c>
      <c r="AX11" s="57">
        <v>32586</v>
      </c>
      <c r="AY11" s="58"/>
      <c r="AZ11" s="59">
        <f t="shared" ref="AZ11:AZ20" si="14">AY11/AX11</f>
        <v>0</v>
      </c>
      <c r="BA11" s="83">
        <v>35090.769394334311</v>
      </c>
      <c r="BB11" s="59"/>
      <c r="BC11" s="59">
        <f t="shared" ref="BC11:BC20" si="15">BB11/BA11</f>
        <v>0</v>
      </c>
      <c r="BD11" s="57">
        <v>32558</v>
      </c>
      <c r="BE11" s="58"/>
      <c r="BF11" s="59">
        <f t="shared" ref="BF11:BF20" si="16">BE11/BD11</f>
        <v>0</v>
      </c>
      <c r="BG11" s="83">
        <v>35448.168278919373</v>
      </c>
      <c r="BH11" s="59"/>
      <c r="BI11" s="59">
        <f t="shared" ref="BI11:BI20" si="17">BH11/BG11</f>
        <v>0</v>
      </c>
      <c r="BJ11" s="57">
        <v>15895</v>
      </c>
      <c r="BK11" s="58"/>
      <c r="BL11" s="59">
        <f t="shared" ref="BL11:BL20" si="18">BK11/BJ11</f>
        <v>0</v>
      </c>
      <c r="BM11" s="83">
        <v>17603.196985115392</v>
      </c>
      <c r="BN11" s="59"/>
      <c r="BO11" s="59">
        <f t="shared" ref="BO11:BO20" si="19">BN11/BM11</f>
        <v>0</v>
      </c>
      <c r="BP11" s="57">
        <v>9598</v>
      </c>
      <c r="BQ11" s="58"/>
      <c r="BR11" s="59">
        <f t="shared" ref="BR11:BR20" si="20">BQ11/BP11</f>
        <v>0</v>
      </c>
      <c r="BS11" s="83">
        <v>10493.95967084</v>
      </c>
      <c r="BT11" s="59"/>
      <c r="BU11" s="59">
        <f t="shared" ref="BU11:BU20" si="21">BT11/BS11</f>
        <v>0</v>
      </c>
      <c r="BV11" s="57">
        <v>7148</v>
      </c>
      <c r="BW11" s="58"/>
      <c r="BX11" s="59">
        <f t="shared" ref="BX11:BX20" si="22">BW11/BV11</f>
        <v>0</v>
      </c>
      <c r="BY11" s="83">
        <v>7833.4555789473688</v>
      </c>
      <c r="BZ11" s="59"/>
      <c r="CA11" s="59">
        <f t="shared" ref="CA11:CA20" si="23">BZ11/BY11</f>
        <v>0</v>
      </c>
      <c r="CB11" s="123">
        <f t="shared" ref="CB11:CB20" si="24">H11+N11+T11+Z11+AF11+AL11+AR11+AX11+BD11+BJ11+BP11+BV11</f>
        <v>207661</v>
      </c>
      <c r="CC11" s="90">
        <f t="shared" ref="CC11:CC19" si="25">I11+O11+U11+AA11+AG11+AM11+AS11+AY11+BE11+BK11+BQ11+BW11</f>
        <v>10801.492999999999</v>
      </c>
      <c r="CD11" s="127">
        <f t="shared" ref="CD11:CD20" si="26">K11+Q11+W11+AC11+AI11+AO11+AU11+BA11+BG11+BM11+BS11+BY11</f>
        <v>217455.23674845786</v>
      </c>
      <c r="CE11" s="106">
        <f t="shared" ref="CE11:CE19" si="27">L11+R11+X11+AD11+AJ11+AP11+AV11+BB11+BH11+BN11+BT11+BZ11</f>
        <v>10492.162570600001</v>
      </c>
      <c r="CF11" s="52">
        <f t="shared" ref="CF11:CF30" si="28">CC11/CB11</f>
        <v>5.2015029302565234E-2</v>
      </c>
      <c r="CG11" s="52">
        <f t="shared" ref="CG11:CG30" si="29">CE11/CD11</f>
        <v>4.8249758099580049E-2</v>
      </c>
      <c r="CH11" s="47"/>
    </row>
    <row r="12" spans="1:797" s="5" customFormat="1" ht="16.5" customHeight="1" x14ac:dyDescent="0.3">
      <c r="A12" s="15">
        <f t="shared" ref="A12:A20" si="30">A11+1</f>
        <v>3</v>
      </c>
      <c r="B12" s="37" t="s">
        <v>38</v>
      </c>
      <c r="C12" s="71">
        <v>357.1</v>
      </c>
      <c r="D12" s="72">
        <v>2.6750000000000003</v>
      </c>
      <c r="E12" s="70">
        <v>0</v>
      </c>
      <c r="F12" s="70">
        <v>0</v>
      </c>
      <c r="G12" s="70" t="s">
        <v>96</v>
      </c>
      <c r="H12" s="83">
        <v>22300</v>
      </c>
      <c r="I12" s="83">
        <v>10865.790999999999</v>
      </c>
      <c r="J12" s="69">
        <f t="shared" si="0"/>
        <v>0.48725520179372195</v>
      </c>
      <c r="K12" s="83">
        <v>23352.97032</v>
      </c>
      <c r="L12" s="83">
        <v>11435.231631000001</v>
      </c>
      <c r="M12" s="69">
        <f t="shared" si="1"/>
        <v>0.48966925724247656</v>
      </c>
      <c r="N12" s="83">
        <v>16900</v>
      </c>
      <c r="O12" s="83">
        <v>10728.138999999999</v>
      </c>
      <c r="P12" s="96">
        <f t="shared" si="2"/>
        <v>0.63480112426035495</v>
      </c>
      <c r="Q12" s="100">
        <v>17597.148659999999</v>
      </c>
      <c r="R12" s="100">
        <f>'[1]TH SL DT'!Q362</f>
        <v>11391.704161999998</v>
      </c>
      <c r="S12" s="101">
        <f t="shared" si="3"/>
        <v>0.6473607958938502</v>
      </c>
      <c r="T12" s="57">
        <v>16600</v>
      </c>
      <c r="U12" s="120">
        <v>6091.0999999999067</v>
      </c>
      <c r="V12" s="96">
        <f t="shared" si="4"/>
        <v>0.3669337349397534</v>
      </c>
      <c r="W12" s="174">
        <v>17789.0082</v>
      </c>
      <c r="X12" s="175">
        <v>6496.9507869999243</v>
      </c>
      <c r="Y12" s="101">
        <f t="shared" si="5"/>
        <v>0.36522276643843044</v>
      </c>
      <c r="Z12" s="57">
        <v>15900</v>
      </c>
      <c r="AA12" s="58"/>
      <c r="AB12" s="59">
        <f t="shared" si="6"/>
        <v>0</v>
      </c>
      <c r="AC12" s="83">
        <v>16909.449659999998</v>
      </c>
      <c r="AD12" s="59"/>
      <c r="AE12" s="59">
        <f t="shared" si="7"/>
        <v>0</v>
      </c>
      <c r="AF12" s="57">
        <v>22000</v>
      </c>
      <c r="AG12" s="58"/>
      <c r="AH12" s="59">
        <f t="shared" si="8"/>
        <v>0</v>
      </c>
      <c r="AI12" s="59">
        <v>23529.1188</v>
      </c>
      <c r="AJ12" s="59"/>
      <c r="AK12" s="59">
        <f t="shared" si="9"/>
        <v>0</v>
      </c>
      <c r="AL12" s="57">
        <v>64400</v>
      </c>
      <c r="AM12" s="58"/>
      <c r="AN12" s="59">
        <f t="shared" si="10"/>
        <v>0</v>
      </c>
      <c r="AO12" s="83">
        <v>68781.297377676528</v>
      </c>
      <c r="AP12" s="59"/>
      <c r="AQ12" s="59">
        <f t="shared" si="11"/>
        <v>0</v>
      </c>
      <c r="AR12" s="57">
        <v>78200</v>
      </c>
      <c r="AS12" s="58"/>
      <c r="AT12" s="59">
        <f t="shared" si="12"/>
        <v>0</v>
      </c>
      <c r="AU12" s="83">
        <v>82676.829497941188</v>
      </c>
      <c r="AV12" s="59"/>
      <c r="AW12" s="59">
        <f t="shared" si="13"/>
        <v>0</v>
      </c>
      <c r="AX12" s="57">
        <v>78800</v>
      </c>
      <c r="AY12" s="58"/>
      <c r="AZ12" s="59">
        <f t="shared" si="14"/>
        <v>0</v>
      </c>
      <c r="BA12" s="83">
        <v>82694.631285967072</v>
      </c>
      <c r="BB12" s="59"/>
      <c r="BC12" s="59">
        <f t="shared" si="15"/>
        <v>0</v>
      </c>
      <c r="BD12" s="57">
        <v>69800</v>
      </c>
      <c r="BE12" s="58"/>
      <c r="BF12" s="59">
        <f t="shared" si="16"/>
        <v>0</v>
      </c>
      <c r="BG12" s="83">
        <v>74045.470118656813</v>
      </c>
      <c r="BH12" s="59"/>
      <c r="BI12" s="59">
        <f t="shared" si="17"/>
        <v>0</v>
      </c>
      <c r="BJ12" s="57">
        <v>35200</v>
      </c>
      <c r="BK12" s="58"/>
      <c r="BL12" s="59">
        <f t="shared" si="18"/>
        <v>0</v>
      </c>
      <c r="BM12" s="83">
        <v>38050.34696839672</v>
      </c>
      <c r="BN12" s="59"/>
      <c r="BO12" s="59">
        <f t="shared" si="19"/>
        <v>0</v>
      </c>
      <c r="BP12" s="57">
        <v>20600</v>
      </c>
      <c r="BQ12" s="58"/>
      <c r="BR12" s="59">
        <f t="shared" si="20"/>
        <v>0</v>
      </c>
      <c r="BS12" s="83">
        <v>21955.253081004954</v>
      </c>
      <c r="BT12" s="59"/>
      <c r="BU12" s="59">
        <f t="shared" si="21"/>
        <v>0</v>
      </c>
      <c r="BV12" s="57">
        <v>15400</v>
      </c>
      <c r="BW12" s="58"/>
      <c r="BX12" s="59">
        <f t="shared" si="22"/>
        <v>0</v>
      </c>
      <c r="BY12" s="83">
        <v>16323.199199999999</v>
      </c>
      <c r="BZ12" s="59"/>
      <c r="CA12" s="59">
        <f t="shared" si="23"/>
        <v>0</v>
      </c>
      <c r="CB12" s="123">
        <f t="shared" si="24"/>
        <v>456100</v>
      </c>
      <c r="CC12" s="90">
        <f t="shared" si="25"/>
        <v>27685.029999999908</v>
      </c>
      <c r="CD12" s="127">
        <f t="shared" si="26"/>
        <v>483704.72316964326</v>
      </c>
      <c r="CE12" s="106">
        <f t="shared" si="27"/>
        <v>29323.886579999922</v>
      </c>
      <c r="CF12" s="52">
        <f t="shared" si="28"/>
        <v>6.069947379960515E-2</v>
      </c>
      <c r="CG12" s="52">
        <f t="shared" si="29"/>
        <v>6.0623527485621741E-2</v>
      </c>
      <c r="CH12" s="47"/>
    </row>
    <row r="13" spans="1:797" s="18" customFormat="1" ht="16.5" customHeight="1" x14ac:dyDescent="0.3">
      <c r="A13" s="15">
        <f t="shared" si="30"/>
        <v>4</v>
      </c>
      <c r="B13" s="38" t="s">
        <v>39</v>
      </c>
      <c r="C13" s="73">
        <v>298.89999999999998</v>
      </c>
      <c r="D13" s="74">
        <v>6</v>
      </c>
      <c r="E13" s="70">
        <v>176.988</v>
      </c>
      <c r="F13" s="70">
        <v>213.56524759800001</v>
      </c>
      <c r="G13" s="70">
        <v>21.583902439024392</v>
      </c>
      <c r="H13" s="83">
        <v>4100</v>
      </c>
      <c r="I13" s="83">
        <v>2519.0770000000002</v>
      </c>
      <c r="J13" s="69">
        <f t="shared" si="0"/>
        <v>0.61440902439024392</v>
      </c>
      <c r="K13" s="83">
        <v>4841.2554</v>
      </c>
      <c r="L13" s="83">
        <v>2988.170576</v>
      </c>
      <c r="M13" s="69">
        <f t="shared" si="1"/>
        <v>0.61723051752237656</v>
      </c>
      <c r="N13" s="83">
        <v>3500</v>
      </c>
      <c r="O13" s="83">
        <v>1740.1610000000001</v>
      </c>
      <c r="P13" s="96">
        <f t="shared" si="2"/>
        <v>0.49718885714285715</v>
      </c>
      <c r="Q13" s="100">
        <v>4096.4630000000006</v>
      </c>
      <c r="R13" s="100">
        <f>'[1]TH SL DT'!Q363</f>
        <v>2082.805957</v>
      </c>
      <c r="S13" s="101">
        <f t="shared" si="3"/>
        <v>0.50844007549927817</v>
      </c>
      <c r="T13" s="57">
        <v>2500</v>
      </c>
      <c r="U13" s="120">
        <v>952.96360000000038</v>
      </c>
      <c r="V13" s="96">
        <f t="shared" si="4"/>
        <v>0.38118544000000015</v>
      </c>
      <c r="W13" s="174">
        <v>3013.81</v>
      </c>
      <c r="X13" s="175">
        <v>1150.9578609916</v>
      </c>
      <c r="Y13" s="101">
        <f t="shared" si="5"/>
        <v>0.38189463204103774</v>
      </c>
      <c r="Z13" s="57">
        <v>3800</v>
      </c>
      <c r="AA13" s="58"/>
      <c r="AB13" s="59">
        <f t="shared" si="6"/>
        <v>0</v>
      </c>
      <c r="AC13" s="83">
        <v>4550.6634000000004</v>
      </c>
      <c r="AD13" s="59"/>
      <c r="AE13" s="59">
        <f t="shared" si="7"/>
        <v>0</v>
      </c>
      <c r="AF13" s="57">
        <v>7600</v>
      </c>
      <c r="AG13" s="58"/>
      <c r="AH13" s="59">
        <f t="shared" si="8"/>
        <v>0</v>
      </c>
      <c r="AI13" s="59">
        <v>9148.4467999999997</v>
      </c>
      <c r="AJ13" s="59"/>
      <c r="AK13" s="59">
        <f t="shared" si="9"/>
        <v>0</v>
      </c>
      <c r="AL13" s="57">
        <v>15500</v>
      </c>
      <c r="AM13" s="58"/>
      <c r="AN13" s="59">
        <f t="shared" si="10"/>
        <v>0</v>
      </c>
      <c r="AO13" s="83">
        <v>18629.574000000001</v>
      </c>
      <c r="AP13" s="59"/>
      <c r="AQ13" s="59">
        <f t="shared" si="11"/>
        <v>0</v>
      </c>
      <c r="AR13" s="57">
        <v>25600</v>
      </c>
      <c r="AS13" s="58"/>
      <c r="AT13" s="59">
        <f t="shared" si="12"/>
        <v>0</v>
      </c>
      <c r="AU13" s="83">
        <v>30424.473600000005</v>
      </c>
      <c r="AV13" s="59"/>
      <c r="AW13" s="59">
        <f t="shared" si="13"/>
        <v>0</v>
      </c>
      <c r="AX13" s="57">
        <v>29000</v>
      </c>
      <c r="AY13" s="58"/>
      <c r="AZ13" s="59">
        <f t="shared" si="14"/>
        <v>0</v>
      </c>
      <c r="BA13" s="83">
        <v>34303.462000000007</v>
      </c>
      <c r="BB13" s="59"/>
      <c r="BC13" s="59">
        <f t="shared" si="15"/>
        <v>0</v>
      </c>
      <c r="BD13" s="57">
        <v>27200</v>
      </c>
      <c r="BE13" s="58"/>
      <c r="BF13" s="59">
        <f t="shared" si="16"/>
        <v>0</v>
      </c>
      <c r="BG13" s="83">
        <v>32620.796800000004</v>
      </c>
      <c r="BH13" s="59"/>
      <c r="BI13" s="59">
        <f t="shared" si="17"/>
        <v>0</v>
      </c>
      <c r="BJ13" s="57">
        <v>12500</v>
      </c>
      <c r="BK13" s="58"/>
      <c r="BL13" s="59">
        <f t="shared" si="18"/>
        <v>0</v>
      </c>
      <c r="BM13" s="83">
        <v>15031.475185845411</v>
      </c>
      <c r="BN13" s="59"/>
      <c r="BO13" s="59">
        <f t="shared" si="19"/>
        <v>0</v>
      </c>
      <c r="BP13" s="57">
        <v>4500</v>
      </c>
      <c r="BQ13" s="58"/>
      <c r="BR13" s="59">
        <f t="shared" si="20"/>
        <v>0</v>
      </c>
      <c r="BS13" s="83">
        <v>5384.3786764649958</v>
      </c>
      <c r="BT13" s="59"/>
      <c r="BU13" s="59">
        <f t="shared" si="21"/>
        <v>0</v>
      </c>
      <c r="BV13" s="57">
        <v>4200</v>
      </c>
      <c r="BW13" s="58"/>
      <c r="BX13" s="59">
        <f t="shared" si="22"/>
        <v>0</v>
      </c>
      <c r="BY13" s="83">
        <v>5063.2049999999999</v>
      </c>
      <c r="BZ13" s="59"/>
      <c r="CA13" s="59">
        <f t="shared" si="23"/>
        <v>0</v>
      </c>
      <c r="CB13" s="123">
        <f t="shared" si="24"/>
        <v>140000</v>
      </c>
      <c r="CC13" s="90">
        <f t="shared" si="25"/>
        <v>5212.2016000000003</v>
      </c>
      <c r="CD13" s="127">
        <f t="shared" si="26"/>
        <v>167108.00386231038</v>
      </c>
      <c r="CE13" s="106">
        <f t="shared" si="27"/>
        <v>6221.9343939915998</v>
      </c>
      <c r="CF13" s="52">
        <f t="shared" si="28"/>
        <v>3.7230011428571429E-2</v>
      </c>
      <c r="CG13" s="52">
        <f t="shared" si="29"/>
        <v>3.7233012484059108E-2</v>
      </c>
      <c r="CH13" s="47"/>
    </row>
    <row r="14" spans="1:797" s="5" customFormat="1" ht="16.5" customHeight="1" x14ac:dyDescent="0.3">
      <c r="A14" s="15">
        <f t="shared" si="30"/>
        <v>5</v>
      </c>
      <c r="B14" s="37" t="s">
        <v>40</v>
      </c>
      <c r="C14" s="71">
        <v>227.6</v>
      </c>
      <c r="D14" s="72">
        <v>8.5416666666666661</v>
      </c>
      <c r="E14" s="70">
        <v>172</v>
      </c>
      <c r="F14" s="70">
        <v>188.78988000000001</v>
      </c>
      <c r="G14" s="70">
        <v>34.4</v>
      </c>
      <c r="H14" s="83">
        <v>15763</v>
      </c>
      <c r="I14" s="83">
        <v>6914.2979999999998</v>
      </c>
      <c r="J14" s="69">
        <f t="shared" si="0"/>
        <v>0.43864099473450485</v>
      </c>
      <c r="K14" s="83">
        <v>16878.384348966065</v>
      </c>
      <c r="L14" s="83">
        <v>7502.5511165200005</v>
      </c>
      <c r="M14" s="69">
        <f t="shared" si="1"/>
        <v>0.44450647416259315</v>
      </c>
      <c r="N14" s="83">
        <v>9446</v>
      </c>
      <c r="O14" s="83">
        <v>6027.317</v>
      </c>
      <c r="P14" s="96">
        <f t="shared" si="2"/>
        <v>0.63808141012068598</v>
      </c>
      <c r="Q14" s="100">
        <v>10026.840671520107</v>
      </c>
      <c r="R14" s="100">
        <f>'[1]TH SL DT'!Q364</f>
        <v>6600.0833312599998</v>
      </c>
      <c r="S14" s="101">
        <f t="shared" si="3"/>
        <v>0.65824156855375682</v>
      </c>
      <c r="T14" s="57">
        <v>8311</v>
      </c>
      <c r="U14" s="120">
        <v>3150</v>
      </c>
      <c r="V14" s="96">
        <f t="shared" si="4"/>
        <v>0.37901576224281075</v>
      </c>
      <c r="W14" s="174">
        <v>9116.6737347770068</v>
      </c>
      <c r="X14" s="175">
        <v>3451.9692500000024</v>
      </c>
      <c r="Y14" s="101">
        <f t="shared" si="5"/>
        <v>0.3786434998580584</v>
      </c>
      <c r="Z14" s="57">
        <v>10405</v>
      </c>
      <c r="AA14" s="58"/>
      <c r="AB14" s="59">
        <f t="shared" si="6"/>
        <v>0</v>
      </c>
      <c r="AC14" s="83">
        <v>11309.086799019342</v>
      </c>
      <c r="AD14" s="59"/>
      <c r="AE14" s="59">
        <f t="shared" si="7"/>
        <v>0</v>
      </c>
      <c r="AF14" s="57">
        <v>14117</v>
      </c>
      <c r="AG14" s="58"/>
      <c r="AH14" s="59">
        <f t="shared" si="8"/>
        <v>0</v>
      </c>
      <c r="AI14" s="59">
        <v>15296.682151526291</v>
      </c>
      <c r="AJ14" s="59"/>
      <c r="AK14" s="59">
        <f t="shared" si="9"/>
        <v>0</v>
      </c>
      <c r="AL14" s="57">
        <v>23466</v>
      </c>
      <c r="AM14" s="58"/>
      <c r="AN14" s="59">
        <f t="shared" si="10"/>
        <v>0</v>
      </c>
      <c r="AO14" s="83">
        <v>25660.928765455526</v>
      </c>
      <c r="AP14" s="59"/>
      <c r="AQ14" s="59">
        <f t="shared" si="11"/>
        <v>0</v>
      </c>
      <c r="AR14" s="57">
        <v>33298</v>
      </c>
      <c r="AS14" s="58"/>
      <c r="AT14" s="59">
        <f t="shared" si="12"/>
        <v>0</v>
      </c>
      <c r="AU14" s="83">
        <v>36099.047893668496</v>
      </c>
      <c r="AV14" s="59"/>
      <c r="AW14" s="59">
        <f t="shared" si="13"/>
        <v>0</v>
      </c>
      <c r="AX14" s="57">
        <v>35895</v>
      </c>
      <c r="AY14" s="58"/>
      <c r="AZ14" s="59">
        <f t="shared" si="14"/>
        <v>0</v>
      </c>
      <c r="BA14" s="83">
        <v>38719.304330189065</v>
      </c>
      <c r="BB14" s="59"/>
      <c r="BC14" s="59">
        <f t="shared" si="15"/>
        <v>0</v>
      </c>
      <c r="BD14" s="57">
        <v>35644</v>
      </c>
      <c r="BE14" s="58"/>
      <c r="BF14" s="59">
        <f t="shared" si="16"/>
        <v>0</v>
      </c>
      <c r="BG14" s="83">
        <v>38767.00556055153</v>
      </c>
      <c r="BH14" s="59"/>
      <c r="BI14" s="59">
        <f t="shared" si="17"/>
        <v>0</v>
      </c>
      <c r="BJ14" s="57">
        <v>28190</v>
      </c>
      <c r="BK14" s="58"/>
      <c r="BL14" s="59">
        <f t="shared" si="18"/>
        <v>0</v>
      </c>
      <c r="BM14" s="83">
        <v>31114.099290002341</v>
      </c>
      <c r="BN14" s="59"/>
      <c r="BO14" s="59">
        <f t="shared" si="19"/>
        <v>0</v>
      </c>
      <c r="BP14" s="57">
        <v>19831</v>
      </c>
      <c r="BQ14" s="58"/>
      <c r="BR14" s="59">
        <f t="shared" si="20"/>
        <v>0</v>
      </c>
      <c r="BS14" s="83">
        <v>21588.773219557192</v>
      </c>
      <c r="BT14" s="59"/>
      <c r="BU14" s="59">
        <f t="shared" si="21"/>
        <v>0</v>
      </c>
      <c r="BV14" s="57">
        <v>14593</v>
      </c>
      <c r="BW14" s="58"/>
      <c r="BX14" s="59">
        <f t="shared" si="22"/>
        <v>0</v>
      </c>
      <c r="BY14" s="83">
        <v>15906.116798504014</v>
      </c>
      <c r="BZ14" s="59"/>
      <c r="CA14" s="59">
        <f t="shared" si="23"/>
        <v>0</v>
      </c>
      <c r="CB14" s="123">
        <f t="shared" si="24"/>
        <v>248959</v>
      </c>
      <c r="CC14" s="90">
        <f t="shared" si="25"/>
        <v>16091.615</v>
      </c>
      <c r="CD14" s="127">
        <f t="shared" si="26"/>
        <v>270482.94356373698</v>
      </c>
      <c r="CE14" s="106">
        <f t="shared" si="27"/>
        <v>17554.603697780003</v>
      </c>
      <c r="CF14" s="52">
        <f t="shared" si="28"/>
        <v>6.4635602649432231E-2</v>
      </c>
      <c r="CG14" s="52">
        <f t="shared" si="29"/>
        <v>6.4900963685510224E-2</v>
      </c>
      <c r="CH14" s="47"/>
    </row>
    <row r="15" spans="1:797" s="19" customFormat="1" ht="16.5" customHeight="1" x14ac:dyDescent="0.3">
      <c r="A15" s="15">
        <f t="shared" si="30"/>
        <v>6</v>
      </c>
      <c r="B15" s="38" t="s">
        <v>41</v>
      </c>
      <c r="C15" s="71">
        <v>53.4</v>
      </c>
      <c r="D15" s="72">
        <v>24.990939274385298</v>
      </c>
      <c r="E15" s="70">
        <v>52.6</v>
      </c>
      <c r="F15" s="70">
        <v>59.347677339999997</v>
      </c>
      <c r="G15" s="70">
        <v>6.7725321888412022</v>
      </c>
      <c r="H15" s="83">
        <v>6183.6214945955644</v>
      </c>
      <c r="I15" s="83">
        <v>4716.7089999999998</v>
      </c>
      <c r="J15" s="69">
        <f t="shared" si="0"/>
        <v>0.76277453335757461</v>
      </c>
      <c r="K15" s="83">
        <v>6835.648953171878</v>
      </c>
      <c r="L15" s="83">
        <v>5264.2026089999999</v>
      </c>
      <c r="M15" s="69">
        <f t="shared" si="1"/>
        <v>0.77011014536627198</v>
      </c>
      <c r="N15" s="83">
        <v>4453.4170634690727</v>
      </c>
      <c r="O15" s="83">
        <v>5174.7079999999996</v>
      </c>
      <c r="P15" s="96">
        <f t="shared" si="2"/>
        <v>1.1619634824790166</v>
      </c>
      <c r="Q15" s="100">
        <v>4937.3424318502175</v>
      </c>
      <c r="R15" s="100">
        <f>'[1]TH SL DT'!Q365</f>
        <v>5808.7595700000002</v>
      </c>
      <c r="S15" s="101">
        <f t="shared" si="3"/>
        <v>1.1764951793759275</v>
      </c>
      <c r="T15" s="57">
        <v>4359.6626486301257</v>
      </c>
      <c r="U15" s="120">
        <v>2537.7269189000026</v>
      </c>
      <c r="V15" s="96">
        <f t="shared" si="4"/>
        <v>0.58209249738563973</v>
      </c>
      <c r="W15" s="174">
        <v>4928.5394902371845</v>
      </c>
      <c r="X15" s="175">
        <v>2850.1897683823754</v>
      </c>
      <c r="Y15" s="101">
        <f t="shared" si="5"/>
        <v>0.57830312083899138</v>
      </c>
      <c r="Z15" s="57">
        <v>4974.7626686358853</v>
      </c>
      <c r="AA15" s="58"/>
      <c r="AB15" s="59">
        <f t="shared" si="6"/>
        <v>0</v>
      </c>
      <c r="AC15" s="83">
        <v>5604.4146755769416</v>
      </c>
      <c r="AD15" s="59"/>
      <c r="AE15" s="59">
        <f t="shared" si="7"/>
        <v>0</v>
      </c>
      <c r="AF15" s="57">
        <v>10371.791457415678</v>
      </c>
      <c r="AG15" s="58"/>
      <c r="AH15" s="59">
        <f t="shared" si="8"/>
        <v>0</v>
      </c>
      <c r="AI15" s="59">
        <v>11683.857895777071</v>
      </c>
      <c r="AJ15" s="59"/>
      <c r="AK15" s="59">
        <f t="shared" si="9"/>
        <v>0</v>
      </c>
      <c r="AL15" s="57">
        <v>12474.511</v>
      </c>
      <c r="AM15" s="58"/>
      <c r="AN15" s="59">
        <f t="shared" si="10"/>
        <v>0</v>
      </c>
      <c r="AO15" s="83">
        <v>14116.429648526948</v>
      </c>
      <c r="AP15" s="59"/>
      <c r="AQ15" s="59">
        <f t="shared" si="11"/>
        <v>0</v>
      </c>
      <c r="AR15" s="57">
        <v>17802.037</v>
      </c>
      <c r="AS15" s="58"/>
      <c r="AT15" s="59">
        <f t="shared" si="12"/>
        <v>0</v>
      </c>
      <c r="AU15" s="83">
        <v>19986.536735362708</v>
      </c>
      <c r="AV15" s="59"/>
      <c r="AW15" s="59">
        <f t="shared" si="13"/>
        <v>0</v>
      </c>
      <c r="AX15" s="57">
        <v>22239.317333333332</v>
      </c>
      <c r="AY15" s="58"/>
      <c r="AZ15" s="59">
        <f t="shared" si="14"/>
        <v>0</v>
      </c>
      <c r="BA15" s="83">
        <v>24811.514992393964</v>
      </c>
      <c r="BB15" s="59"/>
      <c r="BC15" s="59">
        <f t="shared" si="15"/>
        <v>0</v>
      </c>
      <c r="BD15" s="57">
        <v>22867.336333333333</v>
      </c>
      <c r="BE15" s="58"/>
      <c r="BF15" s="59">
        <f t="shared" si="16"/>
        <v>0</v>
      </c>
      <c r="BG15" s="83">
        <v>25681.326619618416</v>
      </c>
      <c r="BH15" s="59"/>
      <c r="BI15" s="59">
        <f t="shared" si="17"/>
        <v>0</v>
      </c>
      <c r="BJ15" s="57">
        <v>17521.653666666669</v>
      </c>
      <c r="BK15" s="58"/>
      <c r="BL15" s="59">
        <f t="shared" si="18"/>
        <v>0</v>
      </c>
      <c r="BM15" s="83">
        <v>19970.741471604393</v>
      </c>
      <c r="BN15" s="59"/>
      <c r="BO15" s="59">
        <f t="shared" si="19"/>
        <v>0</v>
      </c>
      <c r="BP15" s="57">
        <v>10490.271333333334</v>
      </c>
      <c r="BQ15" s="58"/>
      <c r="BR15" s="59">
        <f t="shared" si="20"/>
        <v>0</v>
      </c>
      <c r="BS15" s="83">
        <v>11771.450647141281</v>
      </c>
      <c r="BT15" s="59"/>
      <c r="BU15" s="59">
        <f t="shared" si="21"/>
        <v>0</v>
      </c>
      <c r="BV15" s="57">
        <v>8766.1733028446342</v>
      </c>
      <c r="BW15" s="58"/>
      <c r="BX15" s="59">
        <f t="shared" si="22"/>
        <v>0</v>
      </c>
      <c r="BY15" s="83">
        <v>9887.7128717442774</v>
      </c>
      <c r="BZ15" s="59"/>
      <c r="CA15" s="59">
        <f t="shared" si="23"/>
        <v>0</v>
      </c>
      <c r="CB15" s="123">
        <f t="shared" si="24"/>
        <v>142504.55530225762</v>
      </c>
      <c r="CC15" s="90">
        <f t="shared" si="25"/>
        <v>12429.143918900001</v>
      </c>
      <c r="CD15" s="127">
        <f t="shared" si="26"/>
        <v>160215.51643300528</v>
      </c>
      <c r="CE15" s="106">
        <f t="shared" si="27"/>
        <v>13923.151947382376</v>
      </c>
      <c r="CF15" s="52">
        <f t="shared" si="28"/>
        <v>8.7219274447313713E-2</v>
      </c>
      <c r="CG15" s="52">
        <f t="shared" si="29"/>
        <v>8.690264374739505E-2</v>
      </c>
      <c r="CH15" s="47"/>
    </row>
    <row r="16" spans="1:797" s="18" customFormat="1" ht="16.5" customHeight="1" x14ac:dyDescent="0.3">
      <c r="A16" s="15">
        <f t="shared" si="30"/>
        <v>7</v>
      </c>
      <c r="B16" s="38" t="s">
        <v>42</v>
      </c>
      <c r="C16" s="73">
        <v>40.14</v>
      </c>
      <c r="D16" s="74">
        <v>30.833333333333332</v>
      </c>
      <c r="E16" s="70">
        <v>61.16</v>
      </c>
      <c r="F16" s="70">
        <v>60.988748831999992</v>
      </c>
      <c r="G16" s="70">
        <v>10.980251346499101</v>
      </c>
      <c r="H16" s="83">
        <v>8542.4136999999992</v>
      </c>
      <c r="I16" s="83">
        <v>6438.4449999999997</v>
      </c>
      <c r="J16" s="69">
        <f t="shared" si="0"/>
        <v>0.75370325368344082</v>
      </c>
      <c r="K16" s="83">
        <v>8329.6895808660338</v>
      </c>
      <c r="L16" s="83">
        <v>6343.7190293740005</v>
      </c>
      <c r="M16" s="69">
        <f t="shared" si="1"/>
        <v>0.76157928429242228</v>
      </c>
      <c r="N16" s="83">
        <v>6112.0187553599999</v>
      </c>
      <c r="O16" s="83">
        <v>6891.482</v>
      </c>
      <c r="P16" s="96">
        <f t="shared" si="2"/>
        <v>1.1275295897867528</v>
      </c>
      <c r="Q16" s="100">
        <v>5981.2954121431103</v>
      </c>
      <c r="R16" s="100">
        <f>'[1]TH SL DT'!Q366</f>
        <v>6826.4571297100001</v>
      </c>
      <c r="S16" s="101">
        <f t="shared" si="3"/>
        <v>1.1413007817422056</v>
      </c>
      <c r="T16" s="57">
        <v>5987.7904496255978</v>
      </c>
      <c r="U16" s="120">
        <v>3672.8799999999997</v>
      </c>
      <c r="V16" s="96">
        <f t="shared" si="4"/>
        <v>0.61339487927966085</v>
      </c>
      <c r="W16" s="174">
        <v>5993.0699406486829</v>
      </c>
      <c r="X16" s="175">
        <v>3654.9552484159985</v>
      </c>
      <c r="Y16" s="101">
        <f t="shared" si="5"/>
        <v>0.60986360656762006</v>
      </c>
      <c r="Z16" s="57">
        <v>7493.7995931455989</v>
      </c>
      <c r="AA16" s="58"/>
      <c r="AB16" s="59">
        <f t="shared" si="6"/>
        <v>0</v>
      </c>
      <c r="AC16" s="83">
        <v>7465.0781283530214</v>
      </c>
      <c r="AD16" s="59"/>
      <c r="AE16" s="59">
        <f t="shared" si="7"/>
        <v>0</v>
      </c>
      <c r="AF16" s="57">
        <v>14248.118662041601</v>
      </c>
      <c r="AG16" s="58"/>
      <c r="AH16" s="59">
        <f t="shared" si="8"/>
        <v>0</v>
      </c>
      <c r="AI16" s="59">
        <v>14207.406353188389</v>
      </c>
      <c r="AJ16" s="59"/>
      <c r="AK16" s="59">
        <f t="shared" si="9"/>
        <v>0</v>
      </c>
      <c r="AL16" s="57">
        <v>18942.815399999999</v>
      </c>
      <c r="AM16" s="58"/>
      <c r="AN16" s="59">
        <f t="shared" si="10"/>
        <v>0</v>
      </c>
      <c r="AO16" s="83">
        <v>18948.377427053147</v>
      </c>
      <c r="AP16" s="59"/>
      <c r="AQ16" s="59">
        <f t="shared" si="11"/>
        <v>0</v>
      </c>
      <c r="AR16" s="57">
        <v>27197.065999999999</v>
      </c>
      <c r="AS16" s="58"/>
      <c r="AT16" s="59">
        <f t="shared" si="12"/>
        <v>0</v>
      </c>
      <c r="AU16" s="83">
        <v>26985.143385516891</v>
      </c>
      <c r="AV16" s="59"/>
      <c r="AW16" s="59">
        <f t="shared" si="13"/>
        <v>0</v>
      </c>
      <c r="AX16" s="57">
        <v>33189.317999999999</v>
      </c>
      <c r="AY16" s="58"/>
      <c r="AZ16" s="59">
        <f t="shared" si="14"/>
        <v>0</v>
      </c>
      <c r="BA16" s="83">
        <v>32756.668780227097</v>
      </c>
      <c r="BB16" s="59"/>
      <c r="BC16" s="59">
        <f t="shared" si="15"/>
        <v>0</v>
      </c>
      <c r="BD16" s="57">
        <v>35133.359400000001</v>
      </c>
      <c r="BE16" s="58"/>
      <c r="BF16" s="59">
        <f t="shared" si="16"/>
        <v>0</v>
      </c>
      <c r="BG16" s="83">
        <v>34885.824094864016</v>
      </c>
      <c r="BH16" s="59"/>
      <c r="BI16" s="59">
        <f t="shared" si="17"/>
        <v>0</v>
      </c>
      <c r="BJ16" s="57">
        <v>26043.014800000001</v>
      </c>
      <c r="BK16" s="58"/>
      <c r="BL16" s="59">
        <f t="shared" si="18"/>
        <v>0</v>
      </c>
      <c r="BM16" s="83">
        <v>26294.27831972381</v>
      </c>
      <c r="BN16" s="59"/>
      <c r="BO16" s="59">
        <f t="shared" si="19"/>
        <v>0</v>
      </c>
      <c r="BP16" s="57">
        <v>16920.092399999998</v>
      </c>
      <c r="BQ16" s="58"/>
      <c r="BR16" s="59">
        <f t="shared" si="20"/>
        <v>0</v>
      </c>
      <c r="BS16" s="83">
        <v>16788.296354889346</v>
      </c>
      <c r="BT16" s="59"/>
      <c r="BU16" s="59">
        <f t="shared" si="21"/>
        <v>0</v>
      </c>
      <c r="BV16" s="57">
        <v>13348.984</v>
      </c>
      <c r="BW16" s="58"/>
      <c r="BX16" s="59">
        <f t="shared" si="22"/>
        <v>0</v>
      </c>
      <c r="BY16" s="83">
        <v>13322.533097254378</v>
      </c>
      <c r="BZ16" s="59"/>
      <c r="CA16" s="59">
        <f t="shared" si="23"/>
        <v>0</v>
      </c>
      <c r="CB16" s="123">
        <f t="shared" si="24"/>
        <v>213158.79116017281</v>
      </c>
      <c r="CC16" s="90">
        <f t="shared" si="25"/>
        <v>17002.807000000001</v>
      </c>
      <c r="CD16" s="127">
        <f t="shared" si="26"/>
        <v>211957.66087472791</v>
      </c>
      <c r="CE16" s="106">
        <f t="shared" si="27"/>
        <v>16825.131407499997</v>
      </c>
      <c r="CF16" s="52">
        <f t="shared" si="28"/>
        <v>7.9765919610717204E-2</v>
      </c>
      <c r="CG16" s="52">
        <f t="shared" si="29"/>
        <v>7.9379680536501365E-2</v>
      </c>
      <c r="CH16" s="47"/>
    </row>
    <row r="17" spans="1:86" s="5" customFormat="1" ht="16.5" customHeight="1" x14ac:dyDescent="0.3">
      <c r="A17" s="15">
        <f t="shared" si="30"/>
        <v>8</v>
      </c>
      <c r="B17" s="37" t="s">
        <v>43</v>
      </c>
      <c r="C17" s="71">
        <v>67.477999999999994</v>
      </c>
      <c r="D17" s="72">
        <v>2.99</v>
      </c>
      <c r="E17" s="70">
        <v>150</v>
      </c>
      <c r="F17" s="70">
        <v>142.64015627500001</v>
      </c>
      <c r="G17" s="70">
        <v>6.25</v>
      </c>
      <c r="H17" s="83">
        <v>12500</v>
      </c>
      <c r="I17" s="83">
        <v>4008.6149999999998</v>
      </c>
      <c r="J17" s="69">
        <f t="shared" si="0"/>
        <v>0.32068920000000001</v>
      </c>
      <c r="K17" s="83">
        <v>11918.875</v>
      </c>
      <c r="L17" s="83">
        <v>3757.062903</v>
      </c>
      <c r="M17" s="69">
        <f t="shared" si="1"/>
        <v>0.31521959102683766</v>
      </c>
      <c r="N17" s="83">
        <v>8950</v>
      </c>
      <c r="O17" s="83">
        <v>3933.4690000000001</v>
      </c>
      <c r="P17" s="96">
        <f t="shared" si="2"/>
        <v>0.43949374301675981</v>
      </c>
      <c r="Q17" s="100">
        <v>8533.9145000000008</v>
      </c>
      <c r="R17" s="100">
        <f>'[1]TH SL DT'!Q367</f>
        <v>3714.8572060000001</v>
      </c>
      <c r="S17" s="101">
        <f t="shared" si="3"/>
        <v>0.43530518216464437</v>
      </c>
      <c r="T17" s="57">
        <v>8400</v>
      </c>
      <c r="U17" s="120">
        <v>2134.1278599999987</v>
      </c>
      <c r="V17" s="96">
        <f t="shared" si="4"/>
        <v>0.25406284047619032</v>
      </c>
      <c r="W17" s="174">
        <v>8009.4840000000004</v>
      </c>
      <c r="X17" s="175">
        <v>2006.7871421011789</v>
      </c>
      <c r="Y17" s="101">
        <f t="shared" si="5"/>
        <v>0.25055136412048251</v>
      </c>
      <c r="Z17" s="57">
        <v>6400</v>
      </c>
      <c r="AA17" s="58"/>
      <c r="AB17" s="59">
        <f t="shared" si="6"/>
        <v>0</v>
      </c>
      <c r="AC17" s="83">
        <v>6102.4639999999999</v>
      </c>
      <c r="AD17" s="59"/>
      <c r="AE17" s="59">
        <f t="shared" si="7"/>
        <v>0</v>
      </c>
      <c r="AF17" s="57">
        <v>6800</v>
      </c>
      <c r="AG17" s="58"/>
      <c r="AH17" s="59">
        <f t="shared" si="8"/>
        <v>0</v>
      </c>
      <c r="AI17" s="59">
        <v>6483.8680000000004</v>
      </c>
      <c r="AJ17" s="59"/>
      <c r="AK17" s="59">
        <f t="shared" si="9"/>
        <v>0</v>
      </c>
      <c r="AL17" s="57">
        <v>7900</v>
      </c>
      <c r="AM17" s="58"/>
      <c r="AN17" s="59">
        <f t="shared" si="10"/>
        <v>0</v>
      </c>
      <c r="AO17" s="83">
        <v>7532.7290000000003</v>
      </c>
      <c r="AP17" s="59"/>
      <c r="AQ17" s="59">
        <f t="shared" si="11"/>
        <v>0</v>
      </c>
      <c r="AR17" s="57">
        <v>8300</v>
      </c>
      <c r="AS17" s="58"/>
      <c r="AT17" s="59">
        <f t="shared" si="12"/>
        <v>0</v>
      </c>
      <c r="AU17" s="83">
        <v>7914.1329999999998</v>
      </c>
      <c r="AV17" s="59"/>
      <c r="AW17" s="59">
        <f t="shared" si="13"/>
        <v>0</v>
      </c>
      <c r="AX17" s="57">
        <v>4050</v>
      </c>
      <c r="AY17" s="58"/>
      <c r="AZ17" s="59">
        <f t="shared" si="14"/>
        <v>0</v>
      </c>
      <c r="BA17" s="83">
        <v>3861.7154999999998</v>
      </c>
      <c r="BB17" s="59"/>
      <c r="BC17" s="59">
        <f t="shared" si="15"/>
        <v>0</v>
      </c>
      <c r="BD17" s="57">
        <v>9000</v>
      </c>
      <c r="BE17" s="58"/>
      <c r="BF17" s="59">
        <f t="shared" si="16"/>
        <v>0</v>
      </c>
      <c r="BG17" s="83">
        <v>8581.59</v>
      </c>
      <c r="BH17" s="59"/>
      <c r="BI17" s="59">
        <f t="shared" si="17"/>
        <v>0</v>
      </c>
      <c r="BJ17" s="57">
        <v>15000</v>
      </c>
      <c r="BK17" s="58"/>
      <c r="BL17" s="59">
        <f t="shared" si="18"/>
        <v>0</v>
      </c>
      <c r="BM17" s="83">
        <v>14302.65</v>
      </c>
      <c r="BN17" s="59"/>
      <c r="BO17" s="59">
        <f t="shared" si="19"/>
        <v>0</v>
      </c>
      <c r="BP17" s="57">
        <v>25000</v>
      </c>
      <c r="BQ17" s="58"/>
      <c r="BR17" s="59">
        <f t="shared" si="20"/>
        <v>0</v>
      </c>
      <c r="BS17" s="83">
        <v>23837.75</v>
      </c>
      <c r="BT17" s="59"/>
      <c r="BU17" s="59">
        <f t="shared" si="21"/>
        <v>0</v>
      </c>
      <c r="BV17" s="57">
        <v>22700</v>
      </c>
      <c r="BW17" s="58"/>
      <c r="BX17" s="59">
        <f t="shared" si="22"/>
        <v>0</v>
      </c>
      <c r="BY17" s="83">
        <v>21644.677</v>
      </c>
      <c r="BZ17" s="59"/>
      <c r="CA17" s="59">
        <f t="shared" si="23"/>
        <v>0</v>
      </c>
      <c r="CB17" s="123">
        <f t="shared" si="24"/>
        <v>135000</v>
      </c>
      <c r="CC17" s="90">
        <f t="shared" si="25"/>
        <v>10076.211859999999</v>
      </c>
      <c r="CD17" s="127">
        <f t="shared" si="26"/>
        <v>128723.84999999999</v>
      </c>
      <c r="CE17" s="106">
        <f t="shared" si="27"/>
        <v>9478.7072511011793</v>
      </c>
      <c r="CF17" s="52">
        <f t="shared" si="28"/>
        <v>7.4638606370370369E-2</v>
      </c>
      <c r="CG17" s="52">
        <f t="shared" si="29"/>
        <v>7.3635983161637719E-2</v>
      </c>
      <c r="CH17" s="47"/>
    </row>
    <row r="18" spans="1:86" s="5" customFormat="1" ht="16.5" customHeight="1" x14ac:dyDescent="0.3">
      <c r="A18" s="15">
        <f t="shared" si="30"/>
        <v>9</v>
      </c>
      <c r="B18" s="37" t="s">
        <v>44</v>
      </c>
      <c r="C18" s="71">
        <v>251.8</v>
      </c>
      <c r="D18" s="72">
        <v>12.817777777777779</v>
      </c>
      <c r="E18" s="70">
        <v>10.7</v>
      </c>
      <c r="F18" s="70">
        <v>-189.98594977999994</v>
      </c>
      <c r="G18" s="70">
        <v>10.7</v>
      </c>
      <c r="H18" s="83">
        <v>70000</v>
      </c>
      <c r="I18" s="83">
        <v>36536.521999999997</v>
      </c>
      <c r="J18" s="69">
        <f t="shared" si="0"/>
        <v>0.52195031428571426</v>
      </c>
      <c r="K18" s="83">
        <v>64987.453209469735</v>
      </c>
      <c r="L18" s="83">
        <v>33193.418247000001</v>
      </c>
      <c r="M18" s="69">
        <f t="shared" si="1"/>
        <v>0.51076656504771567</v>
      </c>
      <c r="N18" s="83">
        <v>45000</v>
      </c>
      <c r="O18" s="83">
        <v>17360.091</v>
      </c>
      <c r="P18" s="96">
        <f t="shared" si="2"/>
        <v>0.38577980000000001</v>
      </c>
      <c r="Q18" s="100">
        <v>42693.885803607867</v>
      </c>
      <c r="R18" s="100">
        <f>'[1]TH SL DT'!Q368</f>
        <v>14759.328901000001</v>
      </c>
      <c r="S18" s="101">
        <f t="shared" si="3"/>
        <v>0.34570123152746046</v>
      </c>
      <c r="T18" s="57">
        <v>40000</v>
      </c>
      <c r="U18" s="120">
        <v>21765.325000000001</v>
      </c>
      <c r="V18" s="96">
        <f t="shared" si="4"/>
        <v>0.544133125</v>
      </c>
      <c r="W18" s="174">
        <v>38818.608980258308</v>
      </c>
      <c r="X18" s="175">
        <v>24642.722120220009</v>
      </c>
      <c r="Y18" s="101">
        <f t="shared" si="5"/>
        <v>0.63481723759736919</v>
      </c>
      <c r="Z18" s="57">
        <v>40000</v>
      </c>
      <c r="AA18" s="58"/>
      <c r="AB18" s="59">
        <f t="shared" si="6"/>
        <v>0</v>
      </c>
      <c r="AC18" s="83">
        <v>38651.061781299337</v>
      </c>
      <c r="AD18" s="59"/>
      <c r="AE18" s="59">
        <f t="shared" si="7"/>
        <v>0</v>
      </c>
      <c r="AF18" s="57">
        <v>45000</v>
      </c>
      <c r="AG18" s="58"/>
      <c r="AH18" s="59">
        <f t="shared" si="8"/>
        <v>0</v>
      </c>
      <c r="AI18" s="59">
        <v>43671.486167326526</v>
      </c>
      <c r="AJ18" s="59"/>
      <c r="AK18" s="59">
        <f t="shared" si="9"/>
        <v>0</v>
      </c>
      <c r="AL18" s="57">
        <v>40000</v>
      </c>
      <c r="AM18" s="58"/>
      <c r="AN18" s="59">
        <f t="shared" si="10"/>
        <v>0</v>
      </c>
      <c r="AO18" s="83">
        <v>38824.45209298456</v>
      </c>
      <c r="AP18" s="59"/>
      <c r="AQ18" s="59">
        <f t="shared" si="11"/>
        <v>0</v>
      </c>
      <c r="AR18" s="57">
        <v>40000</v>
      </c>
      <c r="AS18" s="58"/>
      <c r="AT18" s="59">
        <f t="shared" si="12"/>
        <v>0</v>
      </c>
      <c r="AU18" s="83">
        <v>41156.83988822798</v>
      </c>
      <c r="AV18" s="59"/>
      <c r="AW18" s="59">
        <f t="shared" si="13"/>
        <v>0</v>
      </c>
      <c r="AX18" s="57">
        <v>50000</v>
      </c>
      <c r="AY18" s="58"/>
      <c r="AZ18" s="59">
        <f t="shared" si="14"/>
        <v>0</v>
      </c>
      <c r="BA18" s="83">
        <v>51066.109793840777</v>
      </c>
      <c r="BB18" s="59"/>
      <c r="BC18" s="59">
        <f t="shared" si="15"/>
        <v>0</v>
      </c>
      <c r="BD18" s="57">
        <v>50000</v>
      </c>
      <c r="BE18" s="58"/>
      <c r="BF18" s="59">
        <f t="shared" si="16"/>
        <v>0</v>
      </c>
      <c r="BG18" s="83">
        <v>51618.389818138952</v>
      </c>
      <c r="BH18" s="59"/>
      <c r="BI18" s="59">
        <f t="shared" si="17"/>
        <v>0</v>
      </c>
      <c r="BJ18" s="57">
        <v>70000</v>
      </c>
      <c r="BK18" s="58"/>
      <c r="BL18" s="59">
        <f t="shared" si="18"/>
        <v>0</v>
      </c>
      <c r="BM18" s="83">
        <v>72166.755339990996</v>
      </c>
      <c r="BN18" s="59"/>
      <c r="BO18" s="59">
        <f t="shared" si="19"/>
        <v>0</v>
      </c>
      <c r="BP18" s="57">
        <v>140000</v>
      </c>
      <c r="BQ18" s="58"/>
      <c r="BR18" s="59">
        <f t="shared" si="20"/>
        <v>0</v>
      </c>
      <c r="BS18" s="83">
        <v>141594.3328384354</v>
      </c>
      <c r="BT18" s="59"/>
      <c r="BU18" s="59">
        <f t="shared" si="21"/>
        <v>0</v>
      </c>
      <c r="BV18" s="57">
        <v>100000</v>
      </c>
      <c r="BW18" s="58"/>
      <c r="BX18" s="59">
        <f t="shared" si="22"/>
        <v>0</v>
      </c>
      <c r="BY18" s="83">
        <v>101138.80917031098</v>
      </c>
      <c r="BZ18" s="59"/>
      <c r="CA18" s="59">
        <f t="shared" si="23"/>
        <v>0</v>
      </c>
      <c r="CB18" s="123">
        <f t="shared" si="24"/>
        <v>730000</v>
      </c>
      <c r="CC18" s="90">
        <f t="shared" si="25"/>
        <v>75661.937999999995</v>
      </c>
      <c r="CD18" s="127">
        <f t="shared" si="26"/>
        <v>726388.18488389149</v>
      </c>
      <c r="CE18" s="106">
        <f t="shared" si="27"/>
        <v>72595.469268220011</v>
      </c>
      <c r="CF18" s="52">
        <f t="shared" si="28"/>
        <v>0.1036464904109589</v>
      </c>
      <c r="CG18" s="52">
        <f t="shared" si="29"/>
        <v>9.9940322239442714E-2</v>
      </c>
      <c r="CH18" s="47"/>
    </row>
    <row r="19" spans="1:86" s="5" customFormat="1" ht="16.5" customHeight="1" x14ac:dyDescent="0.3">
      <c r="A19" s="15">
        <f t="shared" si="30"/>
        <v>10</v>
      </c>
      <c r="B19" s="32" t="s">
        <v>45</v>
      </c>
      <c r="C19" s="115"/>
      <c r="D19" s="116"/>
      <c r="E19" s="70">
        <v>280.40640000000008</v>
      </c>
      <c r="F19" s="70">
        <v>608.25756288000014</v>
      </c>
      <c r="G19" s="70">
        <v>39.1</v>
      </c>
      <c r="H19" s="83">
        <v>6590.25</v>
      </c>
      <c r="I19" s="83">
        <v>7799.8739999999998</v>
      </c>
      <c r="J19" s="69">
        <f t="shared" si="0"/>
        <v>1.1835475133720268</v>
      </c>
      <c r="K19" s="83">
        <v>14261.300999999999</v>
      </c>
      <c r="L19" s="83">
        <v>16916.569528</v>
      </c>
      <c r="M19" s="69">
        <f t="shared" si="1"/>
        <v>1.1861869774714102</v>
      </c>
      <c r="N19" s="83">
        <v>7408.35</v>
      </c>
      <c r="O19" s="83">
        <v>7115.46</v>
      </c>
      <c r="P19" s="96">
        <f t="shared" si="2"/>
        <v>0.96046488084391257</v>
      </c>
      <c r="Q19" s="100">
        <v>16031.669400000001</v>
      </c>
      <c r="R19" s="100">
        <f>'[1]TH SL DT'!Q374</f>
        <v>15431.529354</v>
      </c>
      <c r="S19" s="101">
        <f t="shared" si="3"/>
        <v>0.96256534294550755</v>
      </c>
      <c r="T19" s="57">
        <v>7844.67</v>
      </c>
      <c r="U19" s="120">
        <v>4335.8876</v>
      </c>
      <c r="V19" s="96">
        <f t="shared" si="4"/>
        <v>0.55271765415243723</v>
      </c>
      <c r="W19" s="174">
        <v>16975.865880000001</v>
      </c>
      <c r="X19" s="175">
        <v>9405.4073819200003</v>
      </c>
      <c r="Y19" s="101">
        <f t="shared" si="5"/>
        <v>0.55404581117720275</v>
      </c>
      <c r="Z19" s="57">
        <v>7651.76</v>
      </c>
      <c r="AA19" s="58"/>
      <c r="AB19" s="59">
        <f t="shared" si="6"/>
        <v>0</v>
      </c>
      <c r="AC19" s="83">
        <v>16558.408640000001</v>
      </c>
      <c r="AD19" s="59"/>
      <c r="AE19" s="59">
        <f t="shared" si="7"/>
        <v>0</v>
      </c>
      <c r="AF19" s="57">
        <v>7402.29</v>
      </c>
      <c r="AG19" s="58"/>
      <c r="AH19" s="59">
        <f t="shared" si="8"/>
        <v>0</v>
      </c>
      <c r="AI19" s="59">
        <v>16018.555560000001</v>
      </c>
      <c r="AJ19" s="59"/>
      <c r="AK19" s="59">
        <f t="shared" si="9"/>
        <v>0</v>
      </c>
      <c r="AL19" s="57">
        <v>6464</v>
      </c>
      <c r="AM19" s="58"/>
      <c r="AN19" s="59">
        <f t="shared" si="10"/>
        <v>0</v>
      </c>
      <c r="AO19" s="83">
        <v>13988.096</v>
      </c>
      <c r="AP19" s="59"/>
      <c r="AQ19" s="59">
        <f t="shared" si="11"/>
        <v>0</v>
      </c>
      <c r="AR19" s="57">
        <v>6469.05</v>
      </c>
      <c r="AS19" s="58"/>
      <c r="AT19" s="59">
        <f t="shared" si="12"/>
        <v>0</v>
      </c>
      <c r="AU19" s="83">
        <v>13999.0242</v>
      </c>
      <c r="AV19" s="59"/>
      <c r="AW19" s="59">
        <f t="shared" si="13"/>
        <v>0</v>
      </c>
      <c r="AX19" s="57">
        <v>7176.05</v>
      </c>
      <c r="AY19" s="58"/>
      <c r="AZ19" s="59">
        <f t="shared" si="14"/>
        <v>0</v>
      </c>
      <c r="BA19" s="83">
        <v>15528.9722</v>
      </c>
      <c r="BB19" s="59"/>
      <c r="BC19" s="59">
        <f t="shared" si="15"/>
        <v>0</v>
      </c>
      <c r="BD19" s="57">
        <v>6340.78</v>
      </c>
      <c r="BE19" s="58"/>
      <c r="BF19" s="59">
        <f t="shared" si="16"/>
        <v>0</v>
      </c>
      <c r="BG19" s="83">
        <v>13721.447920000001</v>
      </c>
      <c r="BH19" s="59"/>
      <c r="BI19" s="59">
        <f t="shared" si="17"/>
        <v>0</v>
      </c>
      <c r="BJ19" s="57">
        <v>6548.84</v>
      </c>
      <c r="BK19" s="58"/>
      <c r="BL19" s="59">
        <f t="shared" si="18"/>
        <v>0</v>
      </c>
      <c r="BM19" s="83">
        <v>14171.689759999999</v>
      </c>
      <c r="BN19" s="59"/>
      <c r="BO19" s="59">
        <f t="shared" si="19"/>
        <v>0</v>
      </c>
      <c r="BP19" s="57">
        <v>5273.21</v>
      </c>
      <c r="BQ19" s="58"/>
      <c r="BR19" s="59">
        <f t="shared" si="20"/>
        <v>0</v>
      </c>
      <c r="BS19" s="83">
        <v>11411.22644</v>
      </c>
      <c r="BT19" s="59"/>
      <c r="BU19" s="59">
        <f t="shared" si="21"/>
        <v>0</v>
      </c>
      <c r="BV19" s="57">
        <v>5865.07</v>
      </c>
      <c r="BW19" s="58"/>
      <c r="BX19" s="59">
        <f t="shared" si="22"/>
        <v>0</v>
      </c>
      <c r="BY19" s="83">
        <v>12692.011479999999</v>
      </c>
      <c r="BZ19" s="59"/>
      <c r="CA19" s="59">
        <f t="shared" si="23"/>
        <v>0</v>
      </c>
      <c r="CB19" s="123">
        <f t="shared" si="24"/>
        <v>81034.320000000007</v>
      </c>
      <c r="CC19" s="90">
        <f t="shared" si="25"/>
        <v>19251.221599999997</v>
      </c>
      <c r="CD19" s="127">
        <f t="shared" si="26"/>
        <v>175358.26848</v>
      </c>
      <c r="CE19" s="106">
        <f t="shared" si="27"/>
        <v>41753.506263919997</v>
      </c>
      <c r="CF19" s="52">
        <f t="shared" si="28"/>
        <v>0.2375687437125405</v>
      </c>
      <c r="CG19" s="52">
        <f t="shared" si="29"/>
        <v>0.23810400630570824</v>
      </c>
      <c r="CH19" s="47"/>
    </row>
    <row r="20" spans="1:86" s="5" customFormat="1" ht="16.5" hidden="1" customHeight="1" x14ac:dyDescent="0.3">
      <c r="A20" s="15">
        <f t="shared" si="30"/>
        <v>11</v>
      </c>
      <c r="B20" s="37" t="s">
        <v>46</v>
      </c>
      <c r="C20" s="71">
        <v>0</v>
      </c>
      <c r="D20" s="72">
        <v>0</v>
      </c>
      <c r="E20" s="70">
        <v>0</v>
      </c>
      <c r="F20" s="70"/>
      <c r="G20" s="70" t="s">
        <v>96</v>
      </c>
      <c r="H20" s="83">
        <v>0</v>
      </c>
      <c r="I20" s="83">
        <v>0</v>
      </c>
      <c r="J20" s="69"/>
      <c r="K20" s="83">
        <v>0</v>
      </c>
      <c r="L20" s="83">
        <v>0</v>
      </c>
      <c r="M20" s="69"/>
      <c r="N20" s="83">
        <v>0</v>
      </c>
      <c r="O20" s="83"/>
      <c r="P20" s="96" t="e">
        <f t="shared" si="2"/>
        <v>#DIV/0!</v>
      </c>
      <c r="Q20" s="100"/>
      <c r="R20" s="100"/>
      <c r="S20" s="101" t="e">
        <f t="shared" si="3"/>
        <v>#DIV/0!</v>
      </c>
      <c r="T20" s="57">
        <v>3000</v>
      </c>
      <c r="U20" s="120"/>
      <c r="V20" s="59">
        <f t="shared" si="4"/>
        <v>0</v>
      </c>
      <c r="W20" s="100">
        <v>3226.26</v>
      </c>
      <c r="X20" s="176"/>
      <c r="Y20" s="177">
        <f t="shared" si="5"/>
        <v>0</v>
      </c>
      <c r="Z20" s="57">
        <v>6000</v>
      </c>
      <c r="AA20" s="58"/>
      <c r="AB20" s="59">
        <f t="shared" si="6"/>
        <v>0</v>
      </c>
      <c r="AC20" s="83">
        <v>6404.634</v>
      </c>
      <c r="AD20" s="59"/>
      <c r="AE20" s="59">
        <f t="shared" si="7"/>
        <v>0</v>
      </c>
      <c r="AF20" s="57">
        <v>8000</v>
      </c>
      <c r="AG20" s="58"/>
      <c r="AH20" s="59">
        <f t="shared" si="8"/>
        <v>0</v>
      </c>
      <c r="AI20" s="59">
        <v>8589.1119999999992</v>
      </c>
      <c r="AJ20" s="59"/>
      <c r="AK20" s="59">
        <f t="shared" si="9"/>
        <v>0</v>
      </c>
      <c r="AL20" s="57">
        <v>16000</v>
      </c>
      <c r="AM20" s="58"/>
      <c r="AN20" s="59">
        <f t="shared" si="10"/>
        <v>0</v>
      </c>
      <c r="AO20" s="83">
        <v>17148.863999999998</v>
      </c>
      <c r="AP20" s="59"/>
      <c r="AQ20" s="59">
        <f t="shared" si="11"/>
        <v>0</v>
      </c>
      <c r="AR20" s="57">
        <v>24000</v>
      </c>
      <c r="AS20" s="58"/>
      <c r="AT20" s="59">
        <f t="shared" si="12"/>
        <v>0</v>
      </c>
      <c r="AU20" s="83">
        <v>25453.248</v>
      </c>
      <c r="AV20" s="59"/>
      <c r="AW20" s="59">
        <f t="shared" si="13"/>
        <v>0</v>
      </c>
      <c r="AX20" s="57">
        <v>28000</v>
      </c>
      <c r="AY20" s="58"/>
      <c r="AZ20" s="59">
        <f t="shared" si="14"/>
        <v>0</v>
      </c>
      <c r="BA20" s="83">
        <v>29491.671999999999</v>
      </c>
      <c r="BB20" s="59"/>
      <c r="BC20" s="59">
        <f t="shared" si="15"/>
        <v>0</v>
      </c>
      <c r="BD20" s="57">
        <v>20000</v>
      </c>
      <c r="BE20" s="58"/>
      <c r="BF20" s="59">
        <f t="shared" si="16"/>
        <v>0</v>
      </c>
      <c r="BG20" s="83">
        <v>21484.720000000001</v>
      </c>
      <c r="BH20" s="59"/>
      <c r="BI20" s="59">
        <f t="shared" si="17"/>
        <v>0</v>
      </c>
      <c r="BJ20" s="57">
        <v>11000</v>
      </c>
      <c r="BK20" s="58"/>
      <c r="BL20" s="59">
        <f t="shared" si="18"/>
        <v>0</v>
      </c>
      <c r="BM20" s="83">
        <v>11943.338</v>
      </c>
      <c r="BN20" s="59"/>
      <c r="BO20" s="59">
        <f t="shared" si="19"/>
        <v>0</v>
      </c>
      <c r="BP20" s="57">
        <v>6500</v>
      </c>
      <c r="BQ20" s="58"/>
      <c r="BR20" s="59">
        <f t="shared" si="20"/>
        <v>0</v>
      </c>
      <c r="BS20" s="83">
        <v>6938.3535000000002</v>
      </c>
      <c r="BT20" s="59"/>
      <c r="BU20" s="59">
        <f t="shared" si="21"/>
        <v>0</v>
      </c>
      <c r="BV20" s="57">
        <v>5000</v>
      </c>
      <c r="BW20" s="58"/>
      <c r="BX20" s="59">
        <f t="shared" si="22"/>
        <v>0</v>
      </c>
      <c r="BY20" s="83">
        <v>5377.1049999999996</v>
      </c>
      <c r="BZ20" s="59"/>
      <c r="CA20" s="59">
        <f t="shared" si="23"/>
        <v>0</v>
      </c>
      <c r="CB20" s="123">
        <f t="shared" si="24"/>
        <v>127500</v>
      </c>
      <c r="CC20" s="90"/>
      <c r="CD20" s="127">
        <f t="shared" si="26"/>
        <v>136057.30650000001</v>
      </c>
      <c r="CE20" s="106"/>
      <c r="CF20" s="52"/>
      <c r="CG20" s="52"/>
      <c r="CH20" s="47"/>
    </row>
    <row r="21" spans="1:86" s="5" customFormat="1" ht="16.5" customHeight="1" x14ac:dyDescent="0.3">
      <c r="A21" s="15"/>
      <c r="B21" s="20" t="s">
        <v>47</v>
      </c>
      <c r="C21" s="117"/>
      <c r="D21" s="34"/>
      <c r="E21" s="21">
        <f>SUM(E10:E20)</f>
        <v>903.85440000000017</v>
      </c>
      <c r="F21" s="21">
        <f>SUM(F10:F20)</f>
        <v>1083.6033231450001</v>
      </c>
      <c r="G21" s="21"/>
      <c r="H21" s="85">
        <f>SUM(H10:H20)</f>
        <v>164030.28519459558</v>
      </c>
      <c r="I21" s="85">
        <f>SUM(I10:I20)</f>
        <v>86286.599000000002</v>
      </c>
      <c r="J21" s="62">
        <f>I21/H21</f>
        <v>0.52604065705082947</v>
      </c>
      <c r="K21" s="85">
        <f>SUM(K10:K20)</f>
        <v>168564.3104101842</v>
      </c>
      <c r="L21" s="85">
        <f>SUM(L10:L20)</f>
        <v>93939.547481893998</v>
      </c>
      <c r="M21" s="62">
        <f>L21/K21</f>
        <v>0.55729203443659936</v>
      </c>
      <c r="N21" s="85">
        <f>SUM(N10:N20)</f>
        <v>112415.78581882908</v>
      </c>
      <c r="O21" s="85">
        <f>SUM(O10:O20)</f>
        <v>65470.850999999995</v>
      </c>
      <c r="P21" s="62">
        <f>O21/N21</f>
        <v>0.58239908677517738</v>
      </c>
      <c r="Q21" s="102">
        <f>SUM(Q10:Q20)</f>
        <v>119921.37869253549</v>
      </c>
      <c r="R21" s="102">
        <f>SUM(R10:R20)</f>
        <v>73236.023908970004</v>
      </c>
      <c r="S21" s="103">
        <f>R21/Q21</f>
        <v>0.6107003163859438</v>
      </c>
      <c r="T21" s="61">
        <f>SUM(T10:T20)</f>
        <v>108024.12309825572</v>
      </c>
      <c r="U21" s="63">
        <f>SUM(U10:U20)</f>
        <v>48049.510978899911</v>
      </c>
      <c r="V21" s="62"/>
      <c r="W21" s="178">
        <f>SUM(W10:W20)</f>
        <v>118578.07358485753</v>
      </c>
      <c r="X21" s="179">
        <f>SUM(X10:X20)</f>
        <v>57135.144725631093</v>
      </c>
      <c r="Y21" s="103"/>
      <c r="Z21" s="61">
        <f>SUM(Z10:Z20)</f>
        <v>114089.32226178148</v>
      </c>
      <c r="AA21" s="61">
        <f>SUM(AA10:AA20)</f>
        <v>0</v>
      </c>
      <c r="AB21" s="62"/>
      <c r="AC21" s="85">
        <f>SUM(AC10:AC20)</f>
        <v>125191.22079654822</v>
      </c>
      <c r="AD21" s="61">
        <f>SUM(AD10:AD20)</f>
        <v>0</v>
      </c>
      <c r="AE21" s="62"/>
      <c r="AF21" s="61">
        <f>SUM(AF10:AF20)</f>
        <v>147529.20011945729</v>
      </c>
      <c r="AG21" s="61">
        <f>SUM(AG10:AG20)</f>
        <v>0</v>
      </c>
      <c r="AH21" s="62"/>
      <c r="AI21" s="61">
        <f>SUM(AI10:AI20)</f>
        <v>160939.58373026687</v>
      </c>
      <c r="AJ21" s="61">
        <f>SUM(AJ10:AJ20)</f>
        <v>0</v>
      </c>
      <c r="AK21" s="62"/>
      <c r="AL21" s="61">
        <f>SUM(AL10:AL20)</f>
        <v>250198.32639999999</v>
      </c>
      <c r="AM21" s="61">
        <f>SUM(AM10:AM20)</f>
        <v>0</v>
      </c>
      <c r="AN21" s="62"/>
      <c r="AO21" s="85">
        <f>SUM(AO10:AO20)</f>
        <v>269672.85190356546</v>
      </c>
      <c r="AP21" s="61">
        <f>SUM(AP10:AP20)</f>
        <v>0</v>
      </c>
      <c r="AQ21" s="62"/>
      <c r="AR21" s="61">
        <f>SUM(AR10:AR20)</f>
        <v>317769.15299999999</v>
      </c>
      <c r="AS21" s="61">
        <f>SUM(AS10:AS20)</f>
        <v>0</v>
      </c>
      <c r="AT21" s="62"/>
      <c r="AU21" s="85">
        <f>SUM(AU10:AU20)</f>
        <v>346614.63820477447</v>
      </c>
      <c r="AV21" s="61">
        <f>SUM(AV10:AV20)</f>
        <v>0</v>
      </c>
      <c r="AW21" s="62"/>
      <c r="AX21" s="61">
        <f>SUM(AX10:AX20)</f>
        <v>341435.68533333333</v>
      </c>
      <c r="AY21" s="61">
        <f>SUM(AY10:AY20)</f>
        <v>0</v>
      </c>
      <c r="AZ21" s="62"/>
      <c r="BA21" s="85">
        <f t="shared" ref="BA21:BB21" si="31">SUM(BA10:BA19)</f>
        <v>341070.57928843435</v>
      </c>
      <c r="BB21" s="61">
        <f t="shared" si="31"/>
        <v>0</v>
      </c>
      <c r="BC21" s="62"/>
      <c r="BD21" s="61">
        <f>SUM(BD10:BD20)</f>
        <v>325743.47573333338</v>
      </c>
      <c r="BE21" s="61">
        <f>SUM(BE10:BE20)</f>
        <v>0</v>
      </c>
      <c r="BF21" s="62"/>
      <c r="BG21" s="85">
        <f>SUM(BG10:BG20)</f>
        <v>355743.22229707614</v>
      </c>
      <c r="BH21" s="61">
        <f>SUM(BH10:BH20)</f>
        <v>0</v>
      </c>
      <c r="BI21" s="62"/>
      <c r="BJ21" s="61">
        <f>SUM(BJ10:BJ20)</f>
        <v>245298.50846666665</v>
      </c>
      <c r="BK21" s="61">
        <f>SUM(BK10:BK20)</f>
        <v>0</v>
      </c>
      <c r="BL21" s="62"/>
      <c r="BM21" s="85">
        <f>SUM(BM10:BM20)</f>
        <v>268920.85199017159</v>
      </c>
      <c r="BN21" s="61">
        <f>SUM(BN10:BN20)</f>
        <v>0</v>
      </c>
      <c r="BO21" s="62"/>
      <c r="BP21" s="61">
        <f>SUM(BP10:BP20)</f>
        <v>263462.57373333332</v>
      </c>
      <c r="BQ21" s="61">
        <f>SUM(BQ10:BQ20)</f>
        <v>0</v>
      </c>
      <c r="BR21" s="62"/>
      <c r="BS21" s="85">
        <f>SUM(BS10:BS20)</f>
        <v>277001.54710477852</v>
      </c>
      <c r="BT21" s="61">
        <f>SUM(BT10:BT20)</f>
        <v>0</v>
      </c>
      <c r="BU21" s="62"/>
      <c r="BV21" s="61">
        <f>SUM(BV10:BV20)</f>
        <v>200221.22730284464</v>
      </c>
      <c r="BW21" s="61">
        <f>SUM(BW10:BW20)</f>
        <v>0</v>
      </c>
      <c r="BX21" s="62"/>
      <c r="BY21" s="85">
        <f>SUM(BY10:BY20)</f>
        <v>212698.738796761</v>
      </c>
      <c r="BZ21" s="61">
        <f>SUM(BZ10:BZ20)</f>
        <v>0</v>
      </c>
      <c r="CA21" s="62"/>
      <c r="CB21" s="124">
        <f>SUM(CB10:CB20)</f>
        <v>2590217.6664624303</v>
      </c>
      <c r="CC21" s="91">
        <f>SUM(CC10:CC20)</f>
        <v>199806.96097889991</v>
      </c>
      <c r="CD21" s="128">
        <f t="shared" ref="CD21:CE21" si="32">SUM(CD10:CD20)</f>
        <v>2794408.668799954</v>
      </c>
      <c r="CE21" s="107">
        <f t="shared" si="32"/>
        <v>224310.71611649508</v>
      </c>
      <c r="CF21" s="98">
        <f t="shared" si="28"/>
        <v>7.7139061927480684E-2</v>
      </c>
      <c r="CG21" s="98">
        <f t="shared" si="29"/>
        <v>8.0271264049872948E-2</v>
      </c>
      <c r="CH21" s="48"/>
    </row>
    <row r="22" spans="1:86" s="11" customFormat="1" ht="16.5" customHeight="1" x14ac:dyDescent="0.3">
      <c r="A22" s="14" t="s">
        <v>48</v>
      </c>
      <c r="B22" s="4" t="s">
        <v>49</v>
      </c>
      <c r="C22" s="4"/>
      <c r="D22" s="4"/>
      <c r="E22" s="4"/>
      <c r="F22" s="4"/>
      <c r="G22" s="22"/>
      <c r="H22" s="86"/>
      <c r="I22" s="86"/>
      <c r="J22" s="44"/>
      <c r="K22" s="44"/>
      <c r="L22" s="84"/>
      <c r="M22" s="44"/>
      <c r="N22" s="86"/>
      <c r="O22" s="86"/>
      <c r="P22" s="97"/>
      <c r="Q22" s="84"/>
      <c r="R22" s="84"/>
      <c r="S22" s="97"/>
      <c r="T22" s="39"/>
      <c r="U22" s="51"/>
      <c r="V22" s="44"/>
      <c r="W22" s="84"/>
      <c r="X22" s="44"/>
      <c r="Y22" s="44"/>
      <c r="Z22" s="39"/>
      <c r="AA22" s="51"/>
      <c r="AB22" s="44"/>
      <c r="AC22" s="84"/>
      <c r="AD22" s="44"/>
      <c r="AE22" s="44"/>
      <c r="AF22" s="39"/>
      <c r="AG22" s="51"/>
      <c r="AH22" s="44"/>
      <c r="AI22" s="44"/>
      <c r="AJ22" s="44"/>
      <c r="AK22" s="44"/>
      <c r="AL22" s="39"/>
      <c r="AM22" s="51"/>
      <c r="AN22" s="44"/>
      <c r="AO22" s="84"/>
      <c r="AP22" s="44"/>
      <c r="AQ22" s="44"/>
      <c r="AR22" s="39"/>
      <c r="AS22" s="51"/>
      <c r="AT22" s="44"/>
      <c r="AU22" s="84"/>
      <c r="AV22" s="44"/>
      <c r="AW22" s="44"/>
      <c r="AX22" s="39"/>
      <c r="AY22" s="51"/>
      <c r="AZ22" s="44"/>
      <c r="BA22" s="84"/>
      <c r="BB22" s="44"/>
      <c r="BC22" s="44"/>
      <c r="BD22" s="39"/>
      <c r="BE22" s="51"/>
      <c r="BF22" s="44"/>
      <c r="BG22" s="84"/>
      <c r="BH22" s="44"/>
      <c r="BI22" s="44"/>
      <c r="BJ22" s="39"/>
      <c r="BK22" s="51"/>
      <c r="BL22" s="44"/>
      <c r="BM22" s="84"/>
      <c r="BN22" s="44"/>
      <c r="BO22" s="44"/>
      <c r="BP22" s="39"/>
      <c r="BQ22" s="51"/>
      <c r="BR22" s="44"/>
      <c r="BS22" s="84"/>
      <c r="BT22" s="44"/>
      <c r="BU22" s="44"/>
      <c r="BV22" s="39"/>
      <c r="BW22" s="51"/>
      <c r="BX22" s="44"/>
      <c r="BY22" s="84"/>
      <c r="BZ22" s="44"/>
      <c r="CA22" s="44"/>
      <c r="CB22" s="125"/>
      <c r="CC22" s="89"/>
      <c r="CD22" s="125"/>
      <c r="CE22" s="89"/>
      <c r="CF22" s="93"/>
      <c r="CH22" s="44"/>
    </row>
    <row r="23" spans="1:86" s="5" customFormat="1" ht="16.5" customHeight="1" x14ac:dyDescent="0.3">
      <c r="A23" s="17">
        <f>A19+1</f>
        <v>11</v>
      </c>
      <c r="B23" s="32" t="s">
        <v>50</v>
      </c>
      <c r="C23" s="75">
        <v>37.503</v>
      </c>
      <c r="D23" s="76">
        <v>6.9444444444439988</v>
      </c>
      <c r="E23" s="16">
        <v>125</v>
      </c>
      <c r="F23" s="16">
        <v>313.30500000000001</v>
      </c>
      <c r="G23" s="70">
        <v>20.833333333333332</v>
      </c>
      <c r="H23" s="83">
        <v>5225</v>
      </c>
      <c r="I23" s="83">
        <v>5180.9880000000003</v>
      </c>
      <c r="J23" s="69">
        <f t="shared" ref="J23:J27" si="33">I23/H23</f>
        <v>0.9915766507177034</v>
      </c>
      <c r="K23" s="112">
        <v>10299.115</v>
      </c>
      <c r="L23" s="88">
        <v>9707.9464800000005</v>
      </c>
      <c r="M23" s="69">
        <f t="shared" ref="M23:M27" si="34">L23/K23</f>
        <v>0.94260006612218628</v>
      </c>
      <c r="N23" s="83">
        <v>6234</v>
      </c>
      <c r="O23" s="83">
        <v>3600.627</v>
      </c>
      <c r="P23" s="96">
        <f t="shared" ref="P23:P27" si="35">O23/N23</f>
        <v>0.57757892204042349</v>
      </c>
      <c r="Q23" s="113">
        <v>10461.991</v>
      </c>
      <c r="R23" s="113">
        <f>'[1]TH SL DT'!Q369</f>
        <v>8053.6959390000002</v>
      </c>
      <c r="S23" s="101">
        <f t="shared" ref="S23:S27" si="36">R23/Q23</f>
        <v>0.76980528266560355</v>
      </c>
      <c r="T23" s="57">
        <v>5758</v>
      </c>
      <c r="U23" s="120">
        <v>1616</v>
      </c>
      <c r="V23" s="96">
        <f t="shared" ref="V23:V27" si="37">U23/T23</f>
        <v>0.28065300451545677</v>
      </c>
      <c r="W23" s="174">
        <v>10399.477000000001</v>
      </c>
      <c r="X23" s="175">
        <v>4066.4040000000082</v>
      </c>
      <c r="Y23" s="101">
        <f t="shared" ref="Y23:Y27" si="38">X23/W23</f>
        <v>0.39102004841205074</v>
      </c>
      <c r="Z23" s="57">
        <v>5343</v>
      </c>
      <c r="AA23" s="58"/>
      <c r="AB23" s="59">
        <f t="shared" ref="AB23:AB27" si="39">AA23/Z23</f>
        <v>0</v>
      </c>
      <c r="AC23" s="88">
        <v>10123.916999999999</v>
      </c>
      <c r="AD23" s="114"/>
      <c r="AE23" s="59">
        <f t="shared" ref="AE23:AE27" si="40">AD23/AC23</f>
        <v>0</v>
      </c>
      <c r="AF23" s="57">
        <v>5032</v>
      </c>
      <c r="AG23" s="58"/>
      <c r="AH23" s="59">
        <f t="shared" ref="AH23:AH27" si="41">AG23/AF23</f>
        <v>0</v>
      </c>
      <c r="AI23" s="114">
        <v>9917.4130000000005</v>
      </c>
      <c r="AJ23" s="114"/>
      <c r="AK23" s="59">
        <f t="shared" ref="AK23:AK27" si="42">AJ23/AI23</f>
        <v>0</v>
      </c>
      <c r="AL23" s="57">
        <v>4361</v>
      </c>
      <c r="AM23" s="58"/>
      <c r="AN23" s="59">
        <f t="shared" ref="AN23:AN27" si="43">AM23/AL23</f>
        <v>0</v>
      </c>
      <c r="AO23" s="88">
        <v>9471.8690000000006</v>
      </c>
      <c r="AP23" s="114"/>
      <c r="AQ23" s="59">
        <f t="shared" ref="AQ23:AQ27" si="44">AP23/AO23</f>
        <v>0</v>
      </c>
      <c r="AR23" s="57">
        <v>9384</v>
      </c>
      <c r="AS23" s="58"/>
      <c r="AT23" s="59">
        <f t="shared" ref="AT23:AT27" si="45">AS23/AR23</f>
        <v>0</v>
      </c>
      <c r="AU23" s="88">
        <v>5817.6890000000003</v>
      </c>
      <c r="AV23" s="114"/>
      <c r="AW23" s="59">
        <f t="shared" ref="AW23:AW27" si="46">AV23/AU23</f>
        <v>0</v>
      </c>
      <c r="AX23" s="57">
        <v>2284</v>
      </c>
      <c r="AY23" s="58"/>
      <c r="AZ23" s="59">
        <f t="shared" ref="AZ23:AZ27" si="47">AY23/AX23</f>
        <v>0</v>
      </c>
      <c r="BA23" s="88">
        <v>1414.6690000000001</v>
      </c>
      <c r="BB23" s="114"/>
      <c r="BC23" s="59">
        <f t="shared" ref="BC23:BC27" si="48">BB23/BA23</f>
        <v>0</v>
      </c>
      <c r="BD23" s="57">
        <v>3619</v>
      </c>
      <c r="BE23" s="58"/>
      <c r="BF23" s="59">
        <f t="shared" ref="BF23:BF27" si="49">BE23/BD23</f>
        <v>0</v>
      </c>
      <c r="BG23" s="88">
        <v>2243.0329999999999</v>
      </c>
      <c r="BH23" s="114"/>
      <c r="BI23" s="59">
        <f t="shared" ref="BI23:BI27" si="50">BH23/BG23</f>
        <v>0</v>
      </c>
      <c r="BJ23" s="57">
        <v>3148</v>
      </c>
      <c r="BK23" s="58"/>
      <c r="BL23" s="59">
        <f t="shared" ref="BL23:BL27" si="51">BK23/BJ23</f>
        <v>0</v>
      </c>
      <c r="BM23" s="88">
        <v>1949.962</v>
      </c>
      <c r="BN23" s="114"/>
      <c r="BO23" s="59">
        <f t="shared" ref="BO23:BO27" si="52">BN23/BM23</f>
        <v>0</v>
      </c>
      <c r="BP23" s="57">
        <v>6012</v>
      </c>
      <c r="BQ23" s="58"/>
      <c r="BR23" s="59">
        <f t="shared" ref="BR23:BR27" si="53">BQ23/BP23</f>
        <v>0</v>
      </c>
      <c r="BS23" s="88">
        <v>10064.554</v>
      </c>
      <c r="BT23" s="114"/>
      <c r="BU23" s="59">
        <f t="shared" ref="BU23:BU27" si="54">BT23/BS23</f>
        <v>0</v>
      </c>
      <c r="BV23" s="57">
        <v>13557</v>
      </c>
      <c r="BW23" s="58"/>
      <c r="BX23" s="59">
        <f t="shared" ref="BX23:BX27" si="55">BW23/BV23</f>
        <v>0</v>
      </c>
      <c r="BY23" s="88">
        <v>15856.7</v>
      </c>
      <c r="BZ23" s="114"/>
      <c r="CA23" s="59">
        <f t="shared" ref="CA23:CA27" si="56">BZ23/BY23</f>
        <v>0</v>
      </c>
      <c r="CB23" s="123">
        <f t="shared" ref="CB23:CC27" si="57">H23+N23+T23+Z23+AF23+AL23+AR23+AX23+BD23+BJ23+BP23+BV23</f>
        <v>69957</v>
      </c>
      <c r="CC23" s="90">
        <f t="shared" si="57"/>
        <v>10397.615</v>
      </c>
      <c r="CD23" s="127">
        <f t="shared" ref="CD23" si="58">K23+Q23+W23+AC23+AI23+AO23+AU23+BA23+BG23+BM23+BS23+BY23</f>
        <v>98020.388999999996</v>
      </c>
      <c r="CE23" s="106">
        <f t="shared" ref="CE23" si="59">L23+R23+X23+AD23+AJ23+AP23+AV23+BB23+BH23+BN23+BT23+BZ23</f>
        <v>21828.046419000009</v>
      </c>
      <c r="CF23" s="52">
        <f t="shared" si="28"/>
        <v>0.14862865760395672</v>
      </c>
      <c r="CG23" s="52">
        <f t="shared" si="29"/>
        <v>0.22268883690106567</v>
      </c>
      <c r="CH23" s="47"/>
    </row>
    <row r="24" spans="1:86" s="19" customFormat="1" ht="16.5" customHeight="1" x14ac:dyDescent="0.3">
      <c r="A24" s="15">
        <f t="shared" ref="A24:A27" si="60">A23+1</f>
        <v>12</v>
      </c>
      <c r="B24" s="37" t="s">
        <v>51</v>
      </c>
      <c r="C24" s="75">
        <v>242.58</v>
      </c>
      <c r="D24" s="76">
        <v>6.6875</v>
      </c>
      <c r="E24" s="16">
        <v>73.028999999999996</v>
      </c>
      <c r="F24" s="16">
        <v>194.33016899999998</v>
      </c>
      <c r="G24" s="70">
        <v>14.605799999999999</v>
      </c>
      <c r="H24" s="83">
        <v>4982.8768747537497</v>
      </c>
      <c r="I24" s="83">
        <v>2482.0279999999998</v>
      </c>
      <c r="J24" s="69">
        <f t="shared" si="33"/>
        <v>0.49811144493163095</v>
      </c>
      <c r="K24" s="112">
        <v>9784.8762790000001</v>
      </c>
      <c r="L24" s="88">
        <v>6604.415688</v>
      </c>
      <c r="M24" s="69">
        <f t="shared" si="34"/>
        <v>0.67496159375813403</v>
      </c>
      <c r="N24" s="83">
        <v>2473.8230226675032</v>
      </c>
      <c r="O24" s="83">
        <v>1102.7660000000001</v>
      </c>
      <c r="P24" s="96">
        <f t="shared" si="35"/>
        <v>0.44577400642463766</v>
      </c>
      <c r="Q24" s="113">
        <v>6774.9972669999997</v>
      </c>
      <c r="R24" s="113">
        <f>'[1]TH SL DT'!Q370</f>
        <v>2934.4603259999999</v>
      </c>
      <c r="S24" s="101">
        <f t="shared" si="36"/>
        <v>0.43313085014710162</v>
      </c>
      <c r="T24" s="57">
        <v>1839.8358122551981</v>
      </c>
      <c r="U24" s="120">
        <v>602.10899999999981</v>
      </c>
      <c r="V24" s="96">
        <f t="shared" si="37"/>
        <v>0.32726235460215242</v>
      </c>
      <c r="W24" s="174">
        <v>4501.5337470000004</v>
      </c>
      <c r="X24" s="175">
        <v>1602.2120489999998</v>
      </c>
      <c r="Y24" s="101">
        <f t="shared" si="38"/>
        <v>0.35592581085675012</v>
      </c>
      <c r="Z24" s="57">
        <v>1926.9996213612362</v>
      </c>
      <c r="AA24" s="58"/>
      <c r="AB24" s="59">
        <f t="shared" si="39"/>
        <v>0</v>
      </c>
      <c r="AC24" s="88">
        <v>4269.2406469999996</v>
      </c>
      <c r="AD24" s="114"/>
      <c r="AE24" s="59">
        <f t="shared" si="40"/>
        <v>0</v>
      </c>
      <c r="AF24" s="57">
        <v>3361.929140891516</v>
      </c>
      <c r="AG24" s="58"/>
      <c r="AH24" s="59">
        <f t="shared" si="41"/>
        <v>0</v>
      </c>
      <c r="AI24" s="114">
        <v>8954.5180600000003</v>
      </c>
      <c r="AJ24" s="114"/>
      <c r="AK24" s="59">
        <f t="shared" si="42"/>
        <v>0</v>
      </c>
      <c r="AL24" s="57">
        <v>4503.6168975837181</v>
      </c>
      <c r="AM24" s="58"/>
      <c r="AN24" s="59">
        <f t="shared" si="43"/>
        <v>0</v>
      </c>
      <c r="AO24" s="88">
        <v>9465.9486290000004</v>
      </c>
      <c r="AP24" s="114"/>
      <c r="AQ24" s="59">
        <f t="shared" si="44"/>
        <v>0</v>
      </c>
      <c r="AR24" s="57">
        <v>3406.7231490075001</v>
      </c>
      <c r="AS24" s="58"/>
      <c r="AT24" s="59">
        <f t="shared" si="45"/>
        <v>0</v>
      </c>
      <c r="AU24" s="88">
        <v>2111.4687819999999</v>
      </c>
      <c r="AV24" s="114"/>
      <c r="AW24" s="59">
        <f t="shared" si="46"/>
        <v>0</v>
      </c>
      <c r="AX24" s="57">
        <v>4900.7051497424991</v>
      </c>
      <c r="AY24" s="58"/>
      <c r="AZ24" s="59">
        <f t="shared" si="47"/>
        <v>0</v>
      </c>
      <c r="BA24" s="88">
        <v>3037.4308329999999</v>
      </c>
      <c r="BB24" s="114"/>
      <c r="BC24" s="59">
        <f t="shared" si="48"/>
        <v>0</v>
      </c>
      <c r="BD24" s="57">
        <v>7441.0825890712513</v>
      </c>
      <c r="BE24" s="58"/>
      <c r="BF24" s="59">
        <f t="shared" si="49"/>
        <v>0</v>
      </c>
      <c r="BG24" s="88">
        <v>4611.9431789999999</v>
      </c>
      <c r="BH24" s="114"/>
      <c r="BI24" s="59">
        <f t="shared" si="50"/>
        <v>0</v>
      </c>
      <c r="BJ24" s="57">
        <v>9963.219156843752</v>
      </c>
      <c r="BK24" s="58"/>
      <c r="BL24" s="59">
        <f t="shared" si="51"/>
        <v>0</v>
      </c>
      <c r="BM24" s="88">
        <v>6175.1499299999996</v>
      </c>
      <c r="BN24" s="114"/>
      <c r="BO24" s="59">
        <f t="shared" si="52"/>
        <v>0</v>
      </c>
      <c r="BP24" s="57">
        <v>9069.1897144499999</v>
      </c>
      <c r="BQ24" s="58"/>
      <c r="BR24" s="59">
        <f t="shared" si="53"/>
        <v>0</v>
      </c>
      <c r="BS24" s="88">
        <v>12505.339051999999</v>
      </c>
      <c r="BT24" s="114"/>
      <c r="BU24" s="59">
        <f t="shared" si="54"/>
        <v>0</v>
      </c>
      <c r="BV24" s="57">
        <v>9821.5162004400008</v>
      </c>
      <c r="BW24" s="58"/>
      <c r="BX24" s="59">
        <f t="shared" si="55"/>
        <v>0</v>
      </c>
      <c r="BY24" s="88">
        <v>13006.200409999999</v>
      </c>
      <c r="BZ24" s="114"/>
      <c r="CA24" s="59">
        <f t="shared" si="56"/>
        <v>0</v>
      </c>
      <c r="CB24" s="123">
        <f t="shared" si="57"/>
        <v>63691.517329067923</v>
      </c>
      <c r="CC24" s="90">
        <f t="shared" si="57"/>
        <v>4186.9029999999993</v>
      </c>
      <c r="CD24" s="127">
        <f t="shared" ref="CD24:CD27" si="61">K24+Q24+W24+AC24+AI24+AO24+AU24+BA24+BG24+BM24+BS24+BY24</f>
        <v>85198.646815</v>
      </c>
      <c r="CE24" s="106">
        <f t="shared" ref="CE24:CE27" si="62">L24+R24+X24+AD24+AJ24+AP24+AV24+BB24+BH24+BN24+BT24+BZ24</f>
        <v>11141.088062999999</v>
      </c>
      <c r="CF24" s="52">
        <f t="shared" si="28"/>
        <v>6.5737215497127979E-2</v>
      </c>
      <c r="CG24" s="52">
        <f t="shared" si="29"/>
        <v>0.13076602128660228</v>
      </c>
      <c r="CH24" s="47"/>
    </row>
    <row r="25" spans="1:86" s="19" customFormat="1" ht="16.5" customHeight="1" x14ac:dyDescent="0.3">
      <c r="A25" s="15">
        <f t="shared" si="60"/>
        <v>13</v>
      </c>
      <c r="B25" s="37" t="s">
        <v>52</v>
      </c>
      <c r="C25" s="75">
        <v>201.17</v>
      </c>
      <c r="D25" s="76">
        <v>11.122916666666669</v>
      </c>
      <c r="E25" s="16">
        <v>37.222000000000001</v>
      </c>
      <c r="F25" s="16">
        <v>99.047742</v>
      </c>
      <c r="G25" s="70">
        <v>7.4443999999999999</v>
      </c>
      <c r="H25" s="83">
        <v>2499.8356930200007</v>
      </c>
      <c r="I25" s="83">
        <v>1214.6849999999999</v>
      </c>
      <c r="J25" s="69">
        <f t="shared" si="33"/>
        <v>0.48590593509470364</v>
      </c>
      <c r="K25" s="112">
        <v>6245.4298630000003</v>
      </c>
      <c r="L25" s="88">
        <v>3231.2083889999999</v>
      </c>
      <c r="M25" s="69">
        <f t="shared" si="34"/>
        <v>0.5173716557354604</v>
      </c>
      <c r="N25" s="83">
        <v>1220.5122910500006</v>
      </c>
      <c r="O25" s="83">
        <v>538.15</v>
      </c>
      <c r="P25" s="96">
        <f t="shared" si="35"/>
        <v>0.44092140976067701</v>
      </c>
      <c r="Q25" s="113">
        <v>3342.586499</v>
      </c>
      <c r="R25" s="113">
        <f>'[1]TH SL DT'!Q371</f>
        <v>1432.0171499999999</v>
      </c>
      <c r="S25" s="101">
        <f t="shared" si="36"/>
        <v>0.42841588405518177</v>
      </c>
      <c r="T25" s="57">
        <v>869.69744258999935</v>
      </c>
      <c r="U25" s="120">
        <v>295.23900000000003</v>
      </c>
      <c r="V25" s="96">
        <f t="shared" si="37"/>
        <v>0.3394732300474112</v>
      </c>
      <c r="W25" s="174">
        <v>2381.8186439999999</v>
      </c>
      <c r="X25" s="175">
        <v>785.62565700000005</v>
      </c>
      <c r="Y25" s="101">
        <f t="shared" si="38"/>
        <v>0.32984276908699856</v>
      </c>
      <c r="Z25" s="57">
        <v>929.83661387999916</v>
      </c>
      <c r="AA25" s="58"/>
      <c r="AB25" s="59">
        <f t="shared" si="39"/>
        <v>0</v>
      </c>
      <c r="AC25" s="88">
        <v>2546.520289</v>
      </c>
      <c r="AD25" s="114"/>
      <c r="AE25" s="59">
        <f t="shared" si="40"/>
        <v>0</v>
      </c>
      <c r="AF25" s="57">
        <v>1659.7433348099987</v>
      </c>
      <c r="AG25" s="58"/>
      <c r="AH25" s="59">
        <f t="shared" si="41"/>
        <v>0</v>
      </c>
      <c r="AI25" s="114">
        <v>4545.4975770000001</v>
      </c>
      <c r="AJ25" s="114"/>
      <c r="AK25" s="59">
        <f t="shared" si="42"/>
        <v>0</v>
      </c>
      <c r="AL25" s="57">
        <v>1984.7872338600009</v>
      </c>
      <c r="AM25" s="58"/>
      <c r="AN25" s="59">
        <f t="shared" si="43"/>
        <v>0</v>
      </c>
      <c r="AO25" s="88">
        <v>5435.6871780000001</v>
      </c>
      <c r="AP25" s="114"/>
      <c r="AQ25" s="59">
        <f t="shared" si="44"/>
        <v>0</v>
      </c>
      <c r="AR25" s="57">
        <v>1495.7774666700011</v>
      </c>
      <c r="AS25" s="58"/>
      <c r="AT25" s="59">
        <f t="shared" si="45"/>
        <v>0</v>
      </c>
      <c r="AU25" s="88">
        <v>927.10676100000001</v>
      </c>
      <c r="AV25" s="114"/>
      <c r="AW25" s="59">
        <f t="shared" si="46"/>
        <v>0</v>
      </c>
      <c r="AX25" s="57">
        <v>2273.3567636399976</v>
      </c>
      <c r="AY25" s="58"/>
      <c r="AZ25" s="59">
        <f t="shared" si="47"/>
        <v>0</v>
      </c>
      <c r="BA25" s="88">
        <v>1409.015326</v>
      </c>
      <c r="BB25" s="114"/>
      <c r="BC25" s="59">
        <f t="shared" si="48"/>
        <v>0</v>
      </c>
      <c r="BD25" s="57">
        <v>3678.8662319700034</v>
      </c>
      <c r="BE25" s="58"/>
      <c r="BF25" s="59">
        <f t="shared" si="49"/>
        <v>0</v>
      </c>
      <c r="BG25" s="88">
        <v>2280.076024</v>
      </c>
      <c r="BH25" s="114"/>
      <c r="BI25" s="59">
        <f t="shared" si="50"/>
        <v>0</v>
      </c>
      <c r="BJ25" s="57">
        <v>4293.6434937599988</v>
      </c>
      <c r="BK25" s="58"/>
      <c r="BL25" s="59">
        <f t="shared" si="51"/>
        <v>0</v>
      </c>
      <c r="BM25" s="88">
        <v>2661.0842320000002</v>
      </c>
      <c r="BN25" s="114"/>
      <c r="BO25" s="59">
        <f t="shared" si="52"/>
        <v>0</v>
      </c>
      <c r="BP25" s="57">
        <v>4090.8024440850008</v>
      </c>
      <c r="BQ25" s="58"/>
      <c r="BR25" s="59">
        <f t="shared" si="53"/>
        <v>0</v>
      </c>
      <c r="BS25" s="88">
        <v>7304.6159770000004</v>
      </c>
      <c r="BT25" s="114"/>
      <c r="BU25" s="59">
        <f t="shared" si="54"/>
        <v>0</v>
      </c>
      <c r="BV25" s="57">
        <v>4987.3337866450001</v>
      </c>
      <c r="BW25" s="58"/>
      <c r="BX25" s="59">
        <f t="shared" si="55"/>
        <v>0</v>
      </c>
      <c r="BY25" s="88">
        <v>7901.481718</v>
      </c>
      <c r="BZ25" s="114"/>
      <c r="CA25" s="59">
        <f t="shared" si="56"/>
        <v>0</v>
      </c>
      <c r="CB25" s="123">
        <f t="shared" si="57"/>
        <v>29984.192795980001</v>
      </c>
      <c r="CC25" s="90">
        <f t="shared" si="57"/>
        <v>2048.0740000000001</v>
      </c>
      <c r="CD25" s="127">
        <f t="shared" si="61"/>
        <v>46980.920088000006</v>
      </c>
      <c r="CE25" s="106">
        <f t="shared" si="62"/>
        <v>5448.8511959999996</v>
      </c>
      <c r="CF25" s="52">
        <f t="shared" si="28"/>
        <v>6.8305123767566839E-2</v>
      </c>
      <c r="CG25" s="52">
        <f t="shared" si="29"/>
        <v>0.1159800869330305</v>
      </c>
      <c r="CH25" s="47"/>
    </row>
    <row r="26" spans="1:86" s="5" customFormat="1" ht="16.5" customHeight="1" x14ac:dyDescent="0.3">
      <c r="A26" s="15">
        <f t="shared" si="60"/>
        <v>14</v>
      </c>
      <c r="B26" s="32" t="s">
        <v>53</v>
      </c>
      <c r="C26" s="75">
        <v>145.91</v>
      </c>
      <c r="D26" s="76">
        <v>15</v>
      </c>
      <c r="E26" s="16">
        <v>25.564</v>
      </c>
      <c r="F26" s="16">
        <v>68.025803999999994</v>
      </c>
      <c r="G26" s="70">
        <v>5.1128</v>
      </c>
      <c r="H26" s="83">
        <v>3049.6050027668657</v>
      </c>
      <c r="I26" s="83">
        <v>1759.8829000000001</v>
      </c>
      <c r="J26" s="69">
        <f t="shared" si="33"/>
        <v>0.57708552366725585</v>
      </c>
      <c r="K26" s="112">
        <v>4931.6785559999998</v>
      </c>
      <c r="L26" s="88">
        <v>3827.2404029999998</v>
      </c>
      <c r="M26" s="69">
        <f t="shared" si="34"/>
        <v>0.77605228312045726</v>
      </c>
      <c r="N26" s="83">
        <v>1634.5043452215784</v>
      </c>
      <c r="O26" s="83">
        <v>1074.1679999999999</v>
      </c>
      <c r="P26" s="96">
        <f t="shared" si="35"/>
        <v>0.65718271299816111</v>
      </c>
      <c r="Q26" s="113">
        <v>3625.4314680000002</v>
      </c>
      <c r="R26" s="113">
        <f>'[1]TH SL DT'!Q372</f>
        <v>2731.7049240000001</v>
      </c>
      <c r="S26" s="101">
        <f t="shared" si="36"/>
        <v>0.75348408820067092</v>
      </c>
      <c r="T26" s="57">
        <v>1475.8866647161008</v>
      </c>
      <c r="U26" s="120">
        <v>480.58200000000005</v>
      </c>
      <c r="V26" s="96">
        <f t="shared" si="37"/>
        <v>0.3256225640418291</v>
      </c>
      <c r="W26" s="174">
        <v>3836.9892719999998</v>
      </c>
      <c r="X26" s="175">
        <v>1245.2891820000002</v>
      </c>
      <c r="Y26" s="101">
        <f t="shared" si="38"/>
        <v>0.32454851804964868</v>
      </c>
      <c r="Z26" s="57">
        <v>1121.8418028711365</v>
      </c>
      <c r="AA26" s="58"/>
      <c r="AB26" s="59">
        <f t="shared" si="39"/>
        <v>0</v>
      </c>
      <c r="AC26" s="88">
        <v>3072.360099</v>
      </c>
      <c r="AD26" s="114"/>
      <c r="AE26" s="59">
        <f t="shared" si="40"/>
        <v>0</v>
      </c>
      <c r="AF26" s="57">
        <v>1728.3157361029394</v>
      </c>
      <c r="AG26" s="58"/>
      <c r="AH26" s="59">
        <f t="shared" si="41"/>
        <v>0</v>
      </c>
      <c r="AI26" s="114">
        <v>4005.0439259999998</v>
      </c>
      <c r="AJ26" s="114"/>
      <c r="AK26" s="59">
        <f t="shared" si="42"/>
        <v>0</v>
      </c>
      <c r="AL26" s="57">
        <v>2779.3900448171576</v>
      </c>
      <c r="AM26" s="58"/>
      <c r="AN26" s="59">
        <f t="shared" si="43"/>
        <v>0</v>
      </c>
      <c r="AO26" s="88">
        <v>4599.0774719999999</v>
      </c>
      <c r="AP26" s="114"/>
      <c r="AQ26" s="59">
        <f t="shared" si="44"/>
        <v>0</v>
      </c>
      <c r="AR26" s="57">
        <v>2776.1257351441209</v>
      </c>
      <c r="AS26" s="58"/>
      <c r="AT26" s="59">
        <f t="shared" si="45"/>
        <v>0</v>
      </c>
      <c r="AU26" s="88">
        <v>1720.818849</v>
      </c>
      <c r="AV26" s="114"/>
      <c r="AW26" s="59">
        <f t="shared" si="46"/>
        <v>0</v>
      </c>
      <c r="AX26" s="57">
        <v>4538.63948755</v>
      </c>
      <c r="AY26" s="58"/>
      <c r="AZ26" s="59">
        <f t="shared" si="47"/>
        <v>0</v>
      </c>
      <c r="BA26" s="88">
        <v>2813.1488599999998</v>
      </c>
      <c r="BB26" s="114"/>
      <c r="BC26" s="59">
        <f t="shared" si="48"/>
        <v>0</v>
      </c>
      <c r="BD26" s="57">
        <v>6385.8770790500039</v>
      </c>
      <c r="BE26" s="58"/>
      <c r="BF26" s="59">
        <f t="shared" si="49"/>
        <v>0</v>
      </c>
      <c r="BG26" s="88">
        <v>3957.9622450000002</v>
      </c>
      <c r="BH26" s="114"/>
      <c r="BI26" s="59">
        <f t="shared" si="50"/>
        <v>0</v>
      </c>
      <c r="BJ26" s="57">
        <v>5521.4857207999994</v>
      </c>
      <c r="BK26" s="58"/>
      <c r="BL26" s="59">
        <f t="shared" si="51"/>
        <v>0</v>
      </c>
      <c r="BM26" s="88">
        <v>3422.2557000000002</v>
      </c>
      <c r="BN26" s="114"/>
      <c r="BO26" s="59">
        <f t="shared" si="52"/>
        <v>0</v>
      </c>
      <c r="BP26" s="57">
        <v>4999.7268105750009</v>
      </c>
      <c r="BQ26" s="58"/>
      <c r="BR26" s="59">
        <f t="shared" si="53"/>
        <v>0</v>
      </c>
      <c r="BS26" s="88">
        <v>6229.9721490000002</v>
      </c>
      <c r="BT26" s="114"/>
      <c r="BU26" s="59">
        <f t="shared" si="54"/>
        <v>0</v>
      </c>
      <c r="BV26" s="57">
        <v>6307.7296868250005</v>
      </c>
      <c r="BW26" s="58"/>
      <c r="BX26" s="59">
        <f t="shared" si="55"/>
        <v>0</v>
      </c>
      <c r="BY26" s="88">
        <v>7100.7750640000004</v>
      </c>
      <c r="BZ26" s="114"/>
      <c r="CA26" s="59">
        <f t="shared" si="56"/>
        <v>0</v>
      </c>
      <c r="CB26" s="123">
        <f t="shared" si="57"/>
        <v>42319.128116439904</v>
      </c>
      <c r="CC26" s="90">
        <f t="shared" si="57"/>
        <v>3314.6329000000001</v>
      </c>
      <c r="CD26" s="127">
        <f t="shared" si="61"/>
        <v>49315.513660000004</v>
      </c>
      <c r="CE26" s="106">
        <f t="shared" si="62"/>
        <v>7804.2345089999999</v>
      </c>
      <c r="CF26" s="52">
        <f t="shared" si="28"/>
        <v>7.8324697306614635E-2</v>
      </c>
      <c r="CG26" s="52">
        <f t="shared" si="29"/>
        <v>0.15825110456732489</v>
      </c>
      <c r="CH26" s="47"/>
    </row>
    <row r="27" spans="1:86" s="5" customFormat="1" ht="16.5" customHeight="1" x14ac:dyDescent="0.3">
      <c r="A27" s="15">
        <f t="shared" si="60"/>
        <v>15</v>
      </c>
      <c r="B27" s="32" t="s">
        <v>54</v>
      </c>
      <c r="C27" s="75">
        <v>134.4</v>
      </c>
      <c r="D27" s="75">
        <v>5.833333333333333</v>
      </c>
      <c r="E27" s="16">
        <v>34.807000000000002</v>
      </c>
      <c r="F27" s="16">
        <v>92.621426999999997</v>
      </c>
      <c r="G27" s="70">
        <v>11.602333333333334</v>
      </c>
      <c r="H27" s="83">
        <v>3856.2956245582163</v>
      </c>
      <c r="I27" s="83">
        <v>2593.5799594999999</v>
      </c>
      <c r="J27" s="69">
        <f t="shared" si="33"/>
        <v>0.6725573482964301</v>
      </c>
      <c r="K27" s="112">
        <v>7552.7134370000003</v>
      </c>
      <c r="L27" s="88">
        <v>6149.4828031334991</v>
      </c>
      <c r="M27" s="69">
        <f t="shared" si="34"/>
        <v>0.81420841058364368</v>
      </c>
      <c r="N27" s="83">
        <v>1960.2381739642124</v>
      </c>
      <c r="O27" s="83">
        <v>1570.8979999999999</v>
      </c>
      <c r="P27" s="96">
        <f t="shared" si="35"/>
        <v>0.80138118972714156</v>
      </c>
      <c r="Q27" s="113">
        <v>5368.4552809999996</v>
      </c>
      <c r="R27" s="113">
        <f>'[1]TH SL DT'!Q373</f>
        <v>4178.2720140000001</v>
      </c>
      <c r="S27" s="101">
        <f t="shared" si="36"/>
        <v>0.77830060888980712</v>
      </c>
      <c r="T27" s="57">
        <v>1895.7438569086999</v>
      </c>
      <c r="U27" s="120">
        <v>786.32975145000137</v>
      </c>
      <c r="V27" s="96">
        <f t="shared" si="37"/>
        <v>0.41478691785515381</v>
      </c>
      <c r="W27" s="174">
        <v>4199.993939</v>
      </c>
      <c r="X27" s="175">
        <v>2054.8692526084542</v>
      </c>
      <c r="Y27" s="101">
        <f t="shared" si="38"/>
        <v>0.48925528999637308</v>
      </c>
      <c r="Z27" s="57">
        <v>1729.5748851085623</v>
      </c>
      <c r="AA27" s="58"/>
      <c r="AB27" s="59">
        <f t="shared" si="39"/>
        <v>0</v>
      </c>
      <c r="AC27" s="88">
        <v>4649.2238450000004</v>
      </c>
      <c r="AD27" s="114"/>
      <c r="AE27" s="59">
        <f t="shared" si="40"/>
        <v>0</v>
      </c>
      <c r="AF27" s="57">
        <v>2529.0146437132648</v>
      </c>
      <c r="AG27" s="58"/>
      <c r="AH27" s="59">
        <f t="shared" si="41"/>
        <v>0</v>
      </c>
      <c r="AI27" s="114">
        <v>6860.8448559999997</v>
      </c>
      <c r="AJ27" s="114"/>
      <c r="AK27" s="59">
        <f t="shared" si="42"/>
        <v>0</v>
      </c>
      <c r="AL27" s="57">
        <v>3695.0190762504599</v>
      </c>
      <c r="AM27" s="58"/>
      <c r="AN27" s="59">
        <f t="shared" si="43"/>
        <v>0</v>
      </c>
      <c r="AO27" s="88">
        <v>7445.4696540000004</v>
      </c>
      <c r="AP27" s="114"/>
      <c r="AQ27" s="59">
        <f t="shared" si="44"/>
        <v>0</v>
      </c>
      <c r="AR27" s="57">
        <v>5090.3181808004856</v>
      </c>
      <c r="AS27" s="58"/>
      <c r="AT27" s="59">
        <f t="shared" si="45"/>
        <v>0</v>
      </c>
      <c r="AU27" s="88">
        <v>3154.9519749999999</v>
      </c>
      <c r="AV27" s="114"/>
      <c r="AW27" s="59">
        <f t="shared" si="46"/>
        <v>0</v>
      </c>
      <c r="AX27" s="57">
        <v>7941.3547524500018</v>
      </c>
      <c r="AY27" s="58"/>
      <c r="AZ27" s="59">
        <f t="shared" si="47"/>
        <v>0</v>
      </c>
      <c r="BA27" s="88">
        <v>4922.0091890000003</v>
      </c>
      <c r="BB27" s="114"/>
      <c r="BC27" s="59">
        <f t="shared" si="48"/>
        <v>0</v>
      </c>
      <c r="BD27" s="57">
        <v>9732.7848427599984</v>
      </c>
      <c r="BE27" s="58"/>
      <c r="BF27" s="59">
        <f t="shared" si="49"/>
        <v>0</v>
      </c>
      <c r="BG27" s="88">
        <v>6032.3279750000002</v>
      </c>
      <c r="BH27" s="114"/>
      <c r="BI27" s="59">
        <f t="shared" si="50"/>
        <v>0</v>
      </c>
      <c r="BJ27" s="57">
        <v>8624.2013695243677</v>
      </c>
      <c r="BK27" s="58"/>
      <c r="BL27" s="59">
        <f t="shared" si="51"/>
        <v>0</v>
      </c>
      <c r="BM27" s="88">
        <v>5345.2338689999997</v>
      </c>
      <c r="BN27" s="114"/>
      <c r="BO27" s="59">
        <f t="shared" si="52"/>
        <v>0</v>
      </c>
      <c r="BP27" s="57">
        <v>6873.1809043559688</v>
      </c>
      <c r="BQ27" s="58"/>
      <c r="BR27" s="59">
        <f t="shared" si="53"/>
        <v>0</v>
      </c>
      <c r="BS27" s="88">
        <v>9426.4646869999997</v>
      </c>
      <c r="BT27" s="114"/>
      <c r="BU27" s="59">
        <f t="shared" si="54"/>
        <v>0</v>
      </c>
      <c r="BV27" s="57">
        <v>7537.9642204371266</v>
      </c>
      <c r="BW27" s="58"/>
      <c r="BX27" s="59">
        <f t="shared" si="55"/>
        <v>0</v>
      </c>
      <c r="BY27" s="88">
        <v>9869.0441800000008</v>
      </c>
      <c r="BZ27" s="114"/>
      <c r="CA27" s="59">
        <f t="shared" si="56"/>
        <v>0</v>
      </c>
      <c r="CB27" s="123">
        <f t="shared" si="57"/>
        <v>61465.690530831365</v>
      </c>
      <c r="CC27" s="90">
        <f t="shared" si="57"/>
        <v>4950.8077109500009</v>
      </c>
      <c r="CD27" s="127">
        <f t="shared" si="61"/>
        <v>74826.732887000006</v>
      </c>
      <c r="CE27" s="106">
        <f t="shared" si="62"/>
        <v>12382.624069741954</v>
      </c>
      <c r="CF27" s="52">
        <f t="shared" si="28"/>
        <v>8.0545873123586922E-2</v>
      </c>
      <c r="CG27" s="52">
        <f t="shared" si="29"/>
        <v>0.16548395996978302</v>
      </c>
      <c r="CH27" s="47"/>
    </row>
    <row r="28" spans="1:86" s="5" customFormat="1" ht="16.5" customHeight="1" x14ac:dyDescent="0.3">
      <c r="A28" s="17"/>
      <c r="B28" s="20" t="s">
        <v>47</v>
      </c>
      <c r="C28" s="117"/>
      <c r="D28" s="118"/>
      <c r="E28" s="23">
        <f>SUM(E23:E27)</f>
        <v>295.62200000000001</v>
      </c>
      <c r="F28" s="23">
        <f>SUM(F23:F27)</f>
        <v>767.33014200000002</v>
      </c>
      <c r="G28" s="23"/>
      <c r="H28" s="85">
        <f t="shared" ref="H28:K28" si="63">SUM(H23:H27)</f>
        <v>19613.613195098835</v>
      </c>
      <c r="I28" s="85">
        <f>SUM(I23:I27)</f>
        <v>13231.1638595</v>
      </c>
      <c r="J28" s="62">
        <f>I28/H28</f>
        <v>0.67459084299706096</v>
      </c>
      <c r="K28" s="85">
        <f t="shared" si="63"/>
        <v>38813.813135000004</v>
      </c>
      <c r="L28" s="85">
        <f>SUM(L23:L27)</f>
        <v>29520.293763133497</v>
      </c>
      <c r="M28" s="62">
        <f>L28/K28</f>
        <v>0.76056154700538403</v>
      </c>
      <c r="N28" s="85">
        <f t="shared" ref="N28:O28" si="64">SUM(N23:N27)</f>
        <v>13523.077832903295</v>
      </c>
      <c r="O28" s="85">
        <f t="shared" si="64"/>
        <v>7886.6089999999995</v>
      </c>
      <c r="P28" s="62">
        <f>O28/N28</f>
        <v>0.58319630319740667</v>
      </c>
      <c r="Q28" s="102">
        <f t="shared" ref="Q28:R28" si="65">SUM(Q23:Q27)</f>
        <v>29573.461514999999</v>
      </c>
      <c r="R28" s="102">
        <f t="shared" si="65"/>
        <v>19330.150352999997</v>
      </c>
      <c r="S28" s="103">
        <f>R28/Q28</f>
        <v>0.6536316468464648</v>
      </c>
      <c r="T28" s="122">
        <f t="shared" ref="T28:U28" si="66">SUM(T23:T27)</f>
        <v>11839.163776469999</v>
      </c>
      <c r="U28" s="63">
        <f t="shared" si="66"/>
        <v>3780.2597514500012</v>
      </c>
      <c r="V28" s="62"/>
      <c r="W28" s="180">
        <f t="shared" ref="W28:X28" si="67">SUM(W23:W27)</f>
        <v>25319.812601999998</v>
      </c>
      <c r="X28" s="179">
        <f t="shared" si="67"/>
        <v>9754.4001406084626</v>
      </c>
      <c r="Y28" s="103"/>
      <c r="Z28" s="63">
        <f t="shared" ref="Z28:AA28" si="68">SUM(Z23:Z27)</f>
        <v>11051.252923220934</v>
      </c>
      <c r="AA28" s="63">
        <f t="shared" si="68"/>
        <v>0</v>
      </c>
      <c r="AB28" s="62"/>
      <c r="AC28" s="85">
        <f t="shared" ref="AC28:AD28" si="69">SUM(AC23:AC27)</f>
        <v>24661.261880000002</v>
      </c>
      <c r="AD28" s="63">
        <f t="shared" si="69"/>
        <v>0</v>
      </c>
      <c r="AE28" s="62"/>
      <c r="AF28" s="63">
        <f t="shared" ref="AF28:AG28" si="70">SUM(AF23:AF27)</f>
        <v>14311.002855517718</v>
      </c>
      <c r="AG28" s="63">
        <f t="shared" si="70"/>
        <v>0</v>
      </c>
      <c r="AH28" s="62"/>
      <c r="AI28" s="63">
        <f t="shared" ref="AI28:AJ28" si="71">SUM(AI23:AI27)</f>
        <v>34283.317418999999</v>
      </c>
      <c r="AJ28" s="63">
        <f t="shared" si="71"/>
        <v>0</v>
      </c>
      <c r="AK28" s="62"/>
      <c r="AL28" s="63">
        <f t="shared" ref="AL28:AM28" si="72">SUM(AL23:AL27)</f>
        <v>17323.813252511336</v>
      </c>
      <c r="AM28" s="63">
        <f t="shared" si="72"/>
        <v>0</v>
      </c>
      <c r="AN28" s="62"/>
      <c r="AO28" s="85">
        <f>SUM(AO23:AO27)</f>
        <v>36418.051933000002</v>
      </c>
      <c r="AP28" s="63">
        <f t="shared" ref="AP28" si="73">SUM(AP23:AP27)</f>
        <v>0</v>
      </c>
      <c r="AQ28" s="62"/>
      <c r="AR28" s="63">
        <f t="shared" ref="AR28:AS28" si="74">SUM(AR23:AR27)</f>
        <v>22152.944531622106</v>
      </c>
      <c r="AS28" s="63">
        <f t="shared" si="74"/>
        <v>0</v>
      </c>
      <c r="AT28" s="62"/>
      <c r="AU28" s="85">
        <f t="shared" ref="AU28:AV28" si="75">SUM(AU23:AU27)</f>
        <v>13732.035367</v>
      </c>
      <c r="AV28" s="63">
        <f t="shared" si="75"/>
        <v>0</v>
      </c>
      <c r="AW28" s="62"/>
      <c r="AX28" s="63">
        <f t="shared" ref="AX28:AY28" si="76">SUM(AX23:AX27)</f>
        <v>21938.056153382498</v>
      </c>
      <c r="AY28" s="63">
        <f t="shared" si="76"/>
        <v>0</v>
      </c>
      <c r="AZ28" s="62"/>
      <c r="BA28" s="85">
        <f t="shared" ref="BA28:BB28" si="77">SUM(BA23:BA27)</f>
        <v>13596.273208000001</v>
      </c>
      <c r="BB28" s="63">
        <f t="shared" si="77"/>
        <v>0</v>
      </c>
      <c r="BC28" s="62"/>
      <c r="BD28" s="63">
        <f t="shared" ref="BD28:BE28" si="78">SUM(BD23:BD27)</f>
        <v>30857.610742851255</v>
      </c>
      <c r="BE28" s="63">
        <f t="shared" si="78"/>
        <v>0</v>
      </c>
      <c r="BF28" s="62"/>
      <c r="BG28" s="85">
        <f t="shared" ref="BG28:BH28" si="79">SUM(BG23:BG27)</f>
        <v>19125.342423000002</v>
      </c>
      <c r="BH28" s="63">
        <f t="shared" si="79"/>
        <v>0</v>
      </c>
      <c r="BI28" s="62"/>
      <c r="BJ28" s="63">
        <f t="shared" ref="BJ28:BK28" si="80">SUM(BJ23:BJ27)</f>
        <v>31550.549740928116</v>
      </c>
      <c r="BK28" s="63">
        <f t="shared" si="80"/>
        <v>0</v>
      </c>
      <c r="BL28" s="62"/>
      <c r="BM28" s="85">
        <f t="shared" ref="BM28:BN28" si="81">SUM(BM23:BM27)</f>
        <v>19553.685730999998</v>
      </c>
      <c r="BN28" s="63">
        <f t="shared" si="81"/>
        <v>0</v>
      </c>
      <c r="BO28" s="62"/>
      <c r="BP28" s="63">
        <f t="shared" ref="BP28:BQ28" si="82">SUM(BP23:BP27)</f>
        <v>31044.899873465973</v>
      </c>
      <c r="BQ28" s="63">
        <f t="shared" si="82"/>
        <v>0</v>
      </c>
      <c r="BR28" s="62"/>
      <c r="BS28" s="85">
        <f t="shared" ref="BS28:BT28" si="83">SUM(BS23:BS27)</f>
        <v>45530.945865000002</v>
      </c>
      <c r="BT28" s="63">
        <f t="shared" si="83"/>
        <v>0</v>
      </c>
      <c r="BU28" s="62"/>
      <c r="BV28" s="63">
        <f t="shared" ref="BV28:BW28" si="84">SUM(BV23:BV27)</f>
        <v>42211.543894347124</v>
      </c>
      <c r="BW28" s="63">
        <f t="shared" si="84"/>
        <v>0</v>
      </c>
      <c r="BX28" s="62"/>
      <c r="BY28" s="85">
        <f t="shared" ref="BY28:BZ28" si="85">SUM(BY23:BY27)</f>
        <v>53734.20137200001</v>
      </c>
      <c r="BZ28" s="63">
        <f t="shared" si="85"/>
        <v>0</v>
      </c>
      <c r="CA28" s="62"/>
      <c r="CB28" s="126">
        <f>SUM(CB23:CB27)</f>
        <v>267417.5287723192</v>
      </c>
      <c r="CC28" s="92">
        <f>SUM(CC23:CC27)</f>
        <v>24898.032610950002</v>
      </c>
      <c r="CD28" s="129">
        <f t="shared" ref="CD28:CE28" si="86">SUM(CD23:CD27)</f>
        <v>354342.20245000004</v>
      </c>
      <c r="CE28" s="108">
        <f t="shared" si="86"/>
        <v>58604.84425674197</v>
      </c>
      <c r="CF28" s="98">
        <f t="shared" si="28"/>
        <v>9.3105462178391191E-2</v>
      </c>
      <c r="CG28" s="98">
        <f t="shared" si="29"/>
        <v>0.16539052884904809</v>
      </c>
      <c r="CH28" s="46"/>
    </row>
    <row r="29" spans="1:86" s="11" customFormat="1" ht="18" customHeight="1" x14ac:dyDescent="0.3">
      <c r="A29" s="14" t="s">
        <v>55</v>
      </c>
      <c r="B29" s="4" t="s">
        <v>56</v>
      </c>
      <c r="C29" s="4"/>
      <c r="D29" s="4"/>
      <c r="E29" s="4"/>
      <c r="F29" s="4"/>
      <c r="G29" s="4"/>
      <c r="H29" s="94"/>
      <c r="I29" s="84"/>
      <c r="J29" s="44"/>
      <c r="K29" s="44"/>
      <c r="L29" s="84"/>
      <c r="M29" s="44"/>
      <c r="N29" s="94"/>
      <c r="O29" s="84"/>
      <c r="P29" s="97"/>
      <c r="Q29" s="84"/>
      <c r="R29" s="84"/>
      <c r="S29" s="97"/>
      <c r="T29" s="40"/>
      <c r="U29" s="44"/>
      <c r="V29" s="44"/>
      <c r="W29" s="84"/>
      <c r="X29" s="44"/>
      <c r="Y29" s="44"/>
      <c r="Z29" s="40"/>
      <c r="AA29" s="44"/>
      <c r="AB29" s="44"/>
      <c r="AC29" s="84"/>
      <c r="AD29" s="44"/>
      <c r="AE29" s="44"/>
      <c r="AF29" s="40"/>
      <c r="AG29" s="44"/>
      <c r="AH29" s="44"/>
      <c r="AI29" s="44"/>
      <c r="AJ29" s="44"/>
      <c r="AK29" s="44"/>
      <c r="AL29" s="40"/>
      <c r="AM29" s="44"/>
      <c r="AN29" s="44"/>
      <c r="AO29" s="84"/>
      <c r="AP29" s="44"/>
      <c r="AQ29" s="44"/>
      <c r="AR29" s="40"/>
      <c r="AS29" s="44"/>
      <c r="AT29" s="44"/>
      <c r="AU29" s="84"/>
      <c r="AV29" s="44"/>
      <c r="AW29" s="44"/>
      <c r="AX29" s="40"/>
      <c r="AY29" s="44"/>
      <c r="AZ29" s="44"/>
      <c r="BA29" s="84"/>
      <c r="BB29" s="44"/>
      <c r="BC29" s="44"/>
      <c r="BD29" s="40"/>
      <c r="BE29" s="44"/>
      <c r="BF29" s="44"/>
      <c r="BG29" s="84"/>
      <c r="BH29" s="44"/>
      <c r="BI29" s="44"/>
      <c r="BJ29" s="40"/>
      <c r="BK29" s="44"/>
      <c r="BL29" s="44"/>
      <c r="BM29" s="84"/>
      <c r="BN29" s="44"/>
      <c r="BO29" s="44"/>
      <c r="BP29" s="40"/>
      <c r="BQ29" s="44"/>
      <c r="BR29" s="44"/>
      <c r="BS29" s="84"/>
      <c r="BT29" s="44"/>
      <c r="BU29" s="44"/>
      <c r="BV29" s="40"/>
      <c r="BW29" s="44"/>
      <c r="BX29" s="44"/>
      <c r="BY29" s="84"/>
      <c r="BZ29" s="44"/>
      <c r="CA29" s="44"/>
      <c r="CB29" s="125"/>
      <c r="CC29" s="89"/>
      <c r="CD29" s="125"/>
      <c r="CE29" s="89"/>
      <c r="CF29" s="93"/>
      <c r="CH29" s="44"/>
    </row>
    <row r="30" spans="1:86" s="5" customFormat="1" ht="20.25" customHeight="1" x14ac:dyDescent="0.3">
      <c r="A30" s="15"/>
      <c r="B30" s="20" t="s">
        <v>47</v>
      </c>
      <c r="C30" s="117"/>
      <c r="D30" s="118"/>
      <c r="E30" s="21">
        <f>E21+E28</f>
        <v>1199.4764000000002</v>
      </c>
      <c r="F30" s="21">
        <f>F21+F28</f>
        <v>1850.9334651450001</v>
      </c>
      <c r="G30" s="21"/>
      <c r="H30" s="87">
        <f>H21+H28</f>
        <v>183643.8983896944</v>
      </c>
      <c r="I30" s="87">
        <f>I21+I28</f>
        <v>99517.762859499999</v>
      </c>
      <c r="J30" s="62">
        <f>I30/H30</f>
        <v>0.54190617674823149</v>
      </c>
      <c r="K30" s="87">
        <f t="shared" ref="K30:L30" si="87">K21+K28</f>
        <v>207378.12354518421</v>
      </c>
      <c r="L30" s="87">
        <f t="shared" si="87"/>
        <v>123459.84124502749</v>
      </c>
      <c r="M30" s="62">
        <f>L30/K30</f>
        <v>0.59533686164407629</v>
      </c>
      <c r="N30" s="87">
        <f>N21+N28</f>
        <v>125938.86365173238</v>
      </c>
      <c r="O30" s="87">
        <f>O21+O28</f>
        <v>73357.459999999992</v>
      </c>
      <c r="P30" s="62">
        <f>O30/N30</f>
        <v>0.58248469037215189</v>
      </c>
      <c r="Q30" s="104">
        <f t="shared" ref="Q30:R30" si="88">Q21+Q28</f>
        <v>149494.84020753548</v>
      </c>
      <c r="R30" s="104">
        <f t="shared" si="88"/>
        <v>92566.174261970009</v>
      </c>
      <c r="S30" s="103">
        <f>R30/Q30</f>
        <v>0.6191931048152931</v>
      </c>
      <c r="T30" s="122">
        <f>T21+T28</f>
        <v>119863.28687472572</v>
      </c>
      <c r="U30" s="121">
        <f>U21+U28</f>
        <v>51829.770730349912</v>
      </c>
      <c r="V30" s="62"/>
      <c r="W30" s="181">
        <f t="shared" ref="W30:X30" si="89">W21+W28</f>
        <v>143897.88618685753</v>
      </c>
      <c r="X30" s="182">
        <f t="shared" si="89"/>
        <v>66889.54486623955</v>
      </c>
      <c r="Y30" s="103"/>
      <c r="Z30" s="64">
        <f>Z21+Z28</f>
        <v>125140.57518500241</v>
      </c>
      <c r="AA30" s="64">
        <f>AA21+AA28</f>
        <v>0</v>
      </c>
      <c r="AB30" s="62"/>
      <c r="AC30" s="87">
        <f t="shared" ref="AC30:AD30" si="90">AC21+AC28</f>
        <v>149852.48267654821</v>
      </c>
      <c r="AD30" s="64">
        <f t="shared" si="90"/>
        <v>0</v>
      </c>
      <c r="AE30" s="62"/>
      <c r="AF30" s="64">
        <f>AF21+AF28</f>
        <v>161840.20297497502</v>
      </c>
      <c r="AG30" s="64">
        <f>AG21+AG28</f>
        <v>0</v>
      </c>
      <c r="AH30" s="62"/>
      <c r="AI30" s="64">
        <f t="shared" ref="AI30:AJ30" si="91">AI21+AI28</f>
        <v>195222.90114926687</v>
      </c>
      <c r="AJ30" s="64">
        <f t="shared" si="91"/>
        <v>0</v>
      </c>
      <c r="AK30" s="62"/>
      <c r="AL30" s="64">
        <f>AL21+AL28</f>
        <v>267522.13965251134</v>
      </c>
      <c r="AM30" s="64">
        <f>AM21+AM28</f>
        <v>0</v>
      </c>
      <c r="AN30" s="62"/>
      <c r="AO30" s="87">
        <f t="shared" ref="AO30:AP30" si="92">AO21+AO28</f>
        <v>306090.90383656544</v>
      </c>
      <c r="AP30" s="64">
        <f t="shared" si="92"/>
        <v>0</v>
      </c>
      <c r="AQ30" s="62"/>
      <c r="AR30" s="64">
        <f>AR21+AR28</f>
        <v>339922.0975316221</v>
      </c>
      <c r="AS30" s="64">
        <f>AS21+AS28</f>
        <v>0</v>
      </c>
      <c r="AT30" s="62"/>
      <c r="AU30" s="87">
        <f t="shared" ref="AU30:AV30" si="93">AU21+AU28</f>
        <v>360346.67357177445</v>
      </c>
      <c r="AV30" s="64">
        <f t="shared" si="93"/>
        <v>0</v>
      </c>
      <c r="AW30" s="62"/>
      <c r="AX30" s="64">
        <f>AX21+AX28</f>
        <v>363373.74148671585</v>
      </c>
      <c r="AY30" s="64">
        <f>AY21+AY28</f>
        <v>0</v>
      </c>
      <c r="AZ30" s="62"/>
      <c r="BA30" s="87">
        <f t="shared" ref="BA30:BB30" si="94">BA21+BA28</f>
        <v>354666.85249643435</v>
      </c>
      <c r="BB30" s="64">
        <f t="shared" si="94"/>
        <v>0</v>
      </c>
      <c r="BC30" s="62"/>
      <c r="BD30" s="64">
        <f>BD21+BD28</f>
        <v>356601.08647618466</v>
      </c>
      <c r="BE30" s="64">
        <f>BE21+BE28</f>
        <v>0</v>
      </c>
      <c r="BF30" s="62"/>
      <c r="BG30" s="87">
        <f t="shared" ref="BG30:BH30" si="95">BG21+BG28</f>
        <v>374868.56472007616</v>
      </c>
      <c r="BH30" s="64">
        <f t="shared" si="95"/>
        <v>0</v>
      </c>
      <c r="BI30" s="62"/>
      <c r="BJ30" s="64">
        <f>BJ21+BJ28</f>
        <v>276849.05820759479</v>
      </c>
      <c r="BK30" s="64">
        <f>BK21+BK28</f>
        <v>0</v>
      </c>
      <c r="BL30" s="62"/>
      <c r="BM30" s="87">
        <f t="shared" ref="BM30:BN30" si="96">BM21+BM28</f>
        <v>288474.53772117157</v>
      </c>
      <c r="BN30" s="64">
        <f t="shared" si="96"/>
        <v>0</v>
      </c>
      <c r="BO30" s="62"/>
      <c r="BP30" s="64">
        <f>BP21+BP28</f>
        <v>294507.47360679932</v>
      </c>
      <c r="BQ30" s="64">
        <f>BQ21+BQ28</f>
        <v>0</v>
      </c>
      <c r="BR30" s="62"/>
      <c r="BS30" s="87">
        <f t="shared" ref="BS30:BT30" si="97">BS21+BS28</f>
        <v>322532.49296977854</v>
      </c>
      <c r="BT30" s="64">
        <f t="shared" si="97"/>
        <v>0</v>
      </c>
      <c r="BU30" s="62"/>
      <c r="BV30" s="64">
        <f>BV21+BV28</f>
        <v>242432.77119719176</v>
      </c>
      <c r="BW30" s="64">
        <f>BW21+BW28</f>
        <v>0</v>
      </c>
      <c r="BX30" s="62"/>
      <c r="BY30" s="87">
        <f t="shared" ref="BY30:BZ30" si="98">BY21+BY28</f>
        <v>266432.94016876101</v>
      </c>
      <c r="BZ30" s="64">
        <f t="shared" si="98"/>
        <v>0</v>
      </c>
      <c r="CA30" s="62"/>
      <c r="CB30" s="124">
        <f>CB21+CB28</f>
        <v>2857635.1952347495</v>
      </c>
      <c r="CC30" s="91">
        <f>CC21+CC28</f>
        <v>224704.99358984991</v>
      </c>
      <c r="CD30" s="128">
        <f t="shared" ref="CD30:CE30" si="99">CD21+CD28</f>
        <v>3148750.8712499542</v>
      </c>
      <c r="CE30" s="107">
        <f t="shared" si="99"/>
        <v>282915.56037323707</v>
      </c>
      <c r="CF30" s="98">
        <f t="shared" si="28"/>
        <v>7.8633197814947403E-2</v>
      </c>
      <c r="CG30" s="98">
        <f t="shared" si="29"/>
        <v>8.9850093558188862E-2</v>
      </c>
      <c r="CH30" s="48"/>
    </row>
    <row r="31" spans="1:86" s="11" customFormat="1" ht="28.95" customHeight="1" x14ac:dyDescent="0.3">
      <c r="A31" s="4" t="s">
        <v>57</v>
      </c>
      <c r="E31" s="4"/>
      <c r="F31" s="4"/>
      <c r="G31" s="4"/>
      <c r="H31" s="24"/>
      <c r="I31" s="25"/>
      <c r="J31" s="24"/>
      <c r="K31" s="24"/>
      <c r="L31" s="24"/>
      <c r="M31" s="24"/>
      <c r="N31" s="24"/>
      <c r="O31" s="25"/>
      <c r="P31" s="24"/>
      <c r="Q31" s="24"/>
      <c r="R31" s="24"/>
      <c r="S31" s="24"/>
      <c r="T31" s="24"/>
      <c r="U31" s="25"/>
      <c r="V31" s="24"/>
      <c r="W31" s="24"/>
      <c r="X31" s="24"/>
      <c r="Y31" s="24"/>
      <c r="Z31" s="24"/>
      <c r="AA31" s="25"/>
      <c r="AB31" s="24"/>
      <c r="AC31" s="24"/>
      <c r="AD31" s="24"/>
      <c r="AE31" s="24"/>
      <c r="AF31" s="24"/>
      <c r="AG31" s="25"/>
      <c r="AH31" s="24"/>
      <c r="AI31" s="24"/>
      <c r="AJ31" s="24"/>
      <c r="AK31" s="24"/>
      <c r="AL31" s="24"/>
      <c r="AM31" s="25"/>
      <c r="AN31" s="24"/>
      <c r="AO31" s="24"/>
      <c r="AP31" s="24"/>
      <c r="AQ31" s="24"/>
      <c r="AR31" s="24"/>
      <c r="AS31" s="25"/>
      <c r="AT31" s="24"/>
      <c r="AU31" s="24"/>
      <c r="AV31" s="24"/>
      <c r="AW31" s="24"/>
      <c r="AX31" s="24"/>
      <c r="AY31" s="25"/>
      <c r="AZ31" s="24"/>
      <c r="BA31" s="24"/>
      <c r="BB31" s="24"/>
      <c r="BC31" s="24"/>
      <c r="BD31" s="24"/>
      <c r="BE31" s="25"/>
      <c r="BF31" s="24"/>
      <c r="BG31" s="24"/>
      <c r="BH31" s="24"/>
      <c r="BI31" s="24"/>
      <c r="BJ31" s="24"/>
      <c r="BK31" s="25"/>
      <c r="BL31" s="24"/>
      <c r="BM31" s="24"/>
      <c r="BN31" s="24"/>
      <c r="BO31" s="24"/>
      <c r="BP31" s="24"/>
      <c r="BQ31" s="25"/>
      <c r="BR31" s="24"/>
      <c r="BS31" s="24"/>
      <c r="BT31" s="24"/>
      <c r="BU31" s="24"/>
      <c r="BV31" s="24"/>
      <c r="BW31" s="25"/>
      <c r="BX31" s="24"/>
      <c r="BY31" s="24"/>
      <c r="BZ31" s="24"/>
      <c r="CA31" s="24"/>
      <c r="CB31" s="26"/>
      <c r="CC31" s="24"/>
      <c r="CD31" s="26"/>
      <c r="CE31" s="24"/>
      <c r="CF31" s="26"/>
      <c r="CG31" s="4"/>
      <c r="CH31" s="44"/>
    </row>
    <row r="32" spans="1:86" s="5" customFormat="1" ht="25.5" customHeight="1" x14ac:dyDescent="0.3">
      <c r="A32" s="11" t="s">
        <v>58</v>
      </c>
      <c r="E32" s="27"/>
      <c r="F32" s="27"/>
      <c r="H32" s="24"/>
      <c r="I32" s="25"/>
      <c r="J32" s="24"/>
      <c r="K32" s="24"/>
      <c r="L32" s="24"/>
      <c r="M32" s="24"/>
      <c r="N32" s="24"/>
      <c r="O32" s="25"/>
      <c r="P32" s="24"/>
      <c r="Q32" s="24"/>
      <c r="R32" s="24"/>
      <c r="S32" s="24"/>
      <c r="T32" s="24"/>
      <c r="U32" s="25"/>
      <c r="V32" s="24"/>
      <c r="W32" s="24"/>
      <c r="X32" s="24"/>
      <c r="Y32" s="24"/>
      <c r="Z32" s="24"/>
      <c r="AA32" s="25"/>
      <c r="AB32" s="24"/>
      <c r="AC32" s="24"/>
      <c r="AD32" s="24"/>
      <c r="AE32" s="24"/>
      <c r="AF32" s="24"/>
      <c r="AG32" s="25"/>
      <c r="AH32" s="24"/>
      <c r="AI32" s="24"/>
      <c r="AJ32" s="24"/>
      <c r="AK32" s="24"/>
      <c r="AL32" s="24"/>
      <c r="AM32" s="25"/>
      <c r="AN32" s="24"/>
      <c r="AO32" s="24"/>
      <c r="AP32" s="24"/>
      <c r="AQ32" s="24"/>
      <c r="AR32" s="24"/>
      <c r="AS32" s="25"/>
      <c r="AT32" s="24"/>
      <c r="AU32" s="24"/>
      <c r="AV32" s="24"/>
      <c r="AW32" s="24"/>
      <c r="AX32" s="24"/>
      <c r="AY32" s="25"/>
      <c r="AZ32" s="24"/>
      <c r="BA32" s="24"/>
      <c r="BB32" s="24"/>
      <c r="BC32" s="24"/>
      <c r="BD32" s="24"/>
      <c r="BE32" s="25"/>
      <c r="BF32" s="24"/>
      <c r="BG32" s="24"/>
      <c r="BH32" s="24"/>
      <c r="BI32" s="24"/>
      <c r="BJ32" s="24"/>
      <c r="BK32" s="25"/>
      <c r="BL32" s="24"/>
      <c r="BM32" s="24"/>
      <c r="BN32" s="24"/>
      <c r="BO32" s="24"/>
      <c r="BP32" s="24"/>
      <c r="BQ32" s="25"/>
      <c r="BR32" s="24"/>
      <c r="BS32" s="24"/>
      <c r="BT32" s="24"/>
      <c r="BU32" s="24"/>
      <c r="BV32" s="24"/>
      <c r="BW32" s="25"/>
      <c r="BX32" s="24"/>
      <c r="BY32" s="24"/>
      <c r="BZ32" s="24"/>
      <c r="CA32" s="24"/>
      <c r="CB32" s="26"/>
      <c r="CC32" s="24"/>
      <c r="CD32" s="26"/>
      <c r="CE32" s="24"/>
      <c r="CF32" s="26"/>
      <c r="CH32" s="41"/>
    </row>
    <row r="33" spans="1:86" s="5" customFormat="1" ht="36.6" customHeight="1" x14ac:dyDescent="0.3">
      <c r="A33" s="11"/>
      <c r="B33" s="130" t="s">
        <v>59</v>
      </c>
      <c r="C33" s="131"/>
      <c r="D33" s="132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24"/>
      <c r="Z33" s="24"/>
      <c r="AA33" s="25"/>
      <c r="AB33" s="24"/>
      <c r="AC33" s="24"/>
      <c r="AD33" s="24"/>
      <c r="AE33" s="24"/>
      <c r="AF33" s="24"/>
      <c r="AG33" s="25"/>
      <c r="AH33" s="24"/>
      <c r="AI33" s="24"/>
      <c r="AJ33" s="24"/>
      <c r="AK33" s="24"/>
      <c r="AL33" s="24"/>
      <c r="AM33" s="25"/>
      <c r="AN33" s="24"/>
      <c r="AO33" s="24"/>
      <c r="AP33" s="24"/>
      <c r="AQ33" s="24"/>
      <c r="AR33" s="24"/>
      <c r="AS33" s="25"/>
      <c r="AT33" s="24"/>
      <c r="AU33" s="24"/>
      <c r="AV33" s="24"/>
      <c r="AW33" s="24"/>
      <c r="AX33" s="24"/>
      <c r="AY33" s="25"/>
      <c r="AZ33" s="24"/>
      <c r="BA33" s="24"/>
      <c r="BB33" s="24"/>
      <c r="BC33" s="24"/>
      <c r="BD33" s="24"/>
      <c r="BE33" s="25"/>
      <c r="BF33" s="24"/>
      <c r="BG33" s="24"/>
      <c r="BH33" s="24"/>
      <c r="BI33" s="24"/>
      <c r="BJ33" s="24"/>
      <c r="BK33" s="25"/>
      <c r="BL33" s="24"/>
      <c r="BM33" s="24"/>
      <c r="BN33" s="24"/>
      <c r="BO33" s="24"/>
      <c r="BP33" s="24"/>
      <c r="BQ33" s="25"/>
      <c r="BR33" s="24"/>
      <c r="BS33" s="24"/>
      <c r="BT33" s="24"/>
      <c r="BU33" s="24"/>
      <c r="BV33" s="24"/>
      <c r="BW33" s="25"/>
      <c r="BX33" s="24"/>
      <c r="BY33" s="24"/>
      <c r="BZ33" s="24"/>
      <c r="CA33" s="24"/>
      <c r="CB33" s="54"/>
      <c r="CC33" s="54" t="s">
        <v>60</v>
      </c>
      <c r="CD33" s="54"/>
      <c r="CE33" s="54"/>
      <c r="CF33" s="54"/>
      <c r="CG33" s="54"/>
      <c r="CH33" s="41"/>
    </row>
    <row r="34" spans="1:86" s="5" customFormat="1" ht="31.8" customHeight="1" x14ac:dyDescent="0.3">
      <c r="A34" s="11"/>
      <c r="B34" s="130" t="s">
        <v>61</v>
      </c>
      <c r="C34" s="131"/>
      <c r="D34" s="132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24"/>
      <c r="Z34" s="24"/>
      <c r="AA34" s="25"/>
      <c r="AB34" s="24"/>
      <c r="AC34" s="24"/>
      <c r="AD34" s="24"/>
      <c r="AE34" s="24"/>
      <c r="AF34" s="24"/>
      <c r="AG34" s="25"/>
      <c r="AH34" s="24"/>
      <c r="AI34" s="24"/>
      <c r="AJ34" s="24"/>
      <c r="AK34" s="24"/>
      <c r="AL34" s="24"/>
      <c r="AM34" s="25"/>
      <c r="AN34" s="24"/>
      <c r="AO34" s="24"/>
      <c r="AP34" s="24"/>
      <c r="AQ34" s="24"/>
      <c r="AR34" s="24"/>
      <c r="AS34" s="25"/>
      <c r="AT34" s="24"/>
      <c r="AU34" s="24"/>
      <c r="AV34" s="24"/>
      <c r="AW34" s="24"/>
      <c r="AX34" s="24"/>
      <c r="AY34" s="25"/>
      <c r="AZ34" s="24"/>
      <c r="BA34" s="24"/>
      <c r="BB34" s="24"/>
      <c r="BC34" s="24"/>
      <c r="BD34" s="24"/>
      <c r="BE34" s="25"/>
      <c r="BF34" s="24"/>
      <c r="BG34" s="24"/>
      <c r="BH34" s="24"/>
      <c r="BI34" s="24"/>
      <c r="BJ34" s="24"/>
      <c r="BK34" s="25"/>
      <c r="BL34" s="24"/>
      <c r="BM34" s="24"/>
      <c r="BN34" s="24"/>
      <c r="BO34" s="24"/>
      <c r="BP34" s="24"/>
      <c r="BQ34" s="25"/>
      <c r="BR34" s="24"/>
      <c r="BS34" s="24"/>
      <c r="BT34" s="24"/>
      <c r="BU34" s="24"/>
      <c r="BV34" s="24"/>
      <c r="BW34" s="25"/>
      <c r="BX34" s="24"/>
      <c r="BY34" s="24"/>
      <c r="BZ34" s="24"/>
      <c r="CA34" s="24"/>
      <c r="CB34" s="55"/>
      <c r="CC34" s="55" t="s">
        <v>62</v>
      </c>
      <c r="CD34" s="55"/>
      <c r="CE34" s="55"/>
      <c r="CF34" s="55"/>
      <c r="CG34" s="55"/>
      <c r="CH34" s="41"/>
    </row>
    <row r="35" spans="1:86" ht="46.8" customHeight="1" x14ac:dyDescent="0.25">
      <c r="A35" s="11"/>
      <c r="B35" s="159" t="s">
        <v>63</v>
      </c>
      <c r="C35" s="159"/>
      <c r="D35" s="165"/>
      <c r="E35" s="161" t="s">
        <v>64</v>
      </c>
      <c r="F35" s="161"/>
      <c r="G35" s="161"/>
      <c r="H35" s="161"/>
      <c r="I35" s="161"/>
      <c r="J35" s="161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24"/>
      <c r="Z35" s="24"/>
      <c r="AA35" s="25"/>
      <c r="AB35" s="24"/>
      <c r="AC35" s="24"/>
      <c r="AD35" s="24"/>
      <c r="AE35" s="24"/>
      <c r="AF35" s="24"/>
      <c r="AG35" s="25"/>
      <c r="AH35" s="24"/>
      <c r="AI35" s="24"/>
      <c r="AJ35" s="24"/>
      <c r="AK35" s="24"/>
      <c r="AL35" s="24"/>
      <c r="AM35" s="25"/>
      <c r="AN35" s="24"/>
      <c r="AO35" s="24"/>
      <c r="AP35" s="24"/>
      <c r="AQ35" s="24"/>
      <c r="AR35" s="24"/>
      <c r="AS35" s="25"/>
      <c r="AT35" s="24"/>
      <c r="AU35" s="24"/>
      <c r="AV35" s="24"/>
      <c r="AW35" s="24"/>
      <c r="AX35" s="24"/>
      <c r="AY35" s="25"/>
      <c r="AZ35" s="24"/>
      <c r="BA35" s="24"/>
      <c r="BB35" s="24"/>
      <c r="BC35" s="24"/>
      <c r="BD35" s="24"/>
      <c r="BE35" s="25"/>
      <c r="BF35" s="24"/>
      <c r="BG35" s="24"/>
      <c r="BH35" s="24"/>
      <c r="BI35" s="24"/>
      <c r="BJ35" s="24"/>
      <c r="BK35" s="25"/>
      <c r="BL35" s="24"/>
      <c r="BM35" s="24"/>
      <c r="BN35" s="24"/>
      <c r="BO35" s="24"/>
      <c r="BP35" s="24"/>
      <c r="BQ35" s="25"/>
      <c r="BR35" s="24"/>
      <c r="BS35" s="24"/>
      <c r="BT35" s="24"/>
      <c r="BU35" s="24"/>
      <c r="BV35" s="24"/>
      <c r="BW35" s="25"/>
      <c r="BX35" s="24"/>
      <c r="BY35" s="24"/>
      <c r="BZ35" s="24"/>
      <c r="CA35" s="24"/>
    </row>
    <row r="36" spans="1:86" ht="23.25" customHeight="1" x14ac:dyDescent="0.25">
      <c r="A36" s="11" t="s">
        <v>65</v>
      </c>
      <c r="B36" s="28"/>
      <c r="C36" s="28"/>
      <c r="E36" s="6"/>
      <c r="F36" s="6"/>
      <c r="G36" s="6"/>
      <c r="H36" s="24"/>
      <c r="I36" s="25"/>
      <c r="J36" s="24"/>
      <c r="K36" s="24"/>
      <c r="L36" s="24"/>
      <c r="M36" s="24"/>
      <c r="N36" s="24"/>
      <c r="O36" s="25"/>
      <c r="P36" s="24"/>
      <c r="Q36" s="24"/>
      <c r="R36" s="24"/>
      <c r="S36" s="24"/>
      <c r="T36" s="24"/>
      <c r="U36" s="25"/>
      <c r="V36" s="24"/>
      <c r="W36" s="24"/>
      <c r="X36" s="24"/>
      <c r="Y36" s="24"/>
      <c r="Z36" s="24"/>
      <c r="AA36" s="25"/>
      <c r="AB36" s="24"/>
      <c r="AC36" s="24"/>
      <c r="AD36" s="24"/>
      <c r="AE36" s="24"/>
      <c r="AF36" s="24"/>
      <c r="AG36" s="25"/>
      <c r="AH36" s="24"/>
      <c r="AI36" s="24"/>
      <c r="AJ36" s="24"/>
      <c r="AK36" s="24"/>
      <c r="AL36" s="24"/>
      <c r="AM36" s="25"/>
      <c r="AN36" s="24"/>
      <c r="AO36" s="24"/>
      <c r="AP36" s="24"/>
      <c r="AQ36" s="24"/>
      <c r="AR36" s="24"/>
      <c r="AS36" s="25"/>
      <c r="AT36" s="24"/>
      <c r="AU36" s="24"/>
      <c r="AV36" s="24"/>
      <c r="AW36" s="24"/>
      <c r="AX36" s="24"/>
      <c r="AY36" s="25"/>
      <c r="AZ36" s="24"/>
      <c r="BA36" s="24"/>
      <c r="BB36" s="24"/>
      <c r="BC36" s="24"/>
      <c r="BD36" s="24"/>
      <c r="BE36" s="25"/>
      <c r="BF36" s="24"/>
      <c r="BG36" s="24"/>
      <c r="BH36" s="24"/>
      <c r="BI36" s="24"/>
      <c r="BJ36" s="24"/>
      <c r="BK36" s="25"/>
      <c r="BL36" s="24"/>
      <c r="BM36" s="24"/>
      <c r="BN36" s="24"/>
      <c r="BO36" s="24"/>
      <c r="BP36" s="24"/>
      <c r="BQ36" s="25"/>
      <c r="BR36" s="24"/>
      <c r="BS36" s="24"/>
      <c r="BT36" s="24"/>
      <c r="BU36" s="24"/>
      <c r="BV36" s="24"/>
      <c r="BW36" s="25"/>
      <c r="BX36" s="24"/>
      <c r="BY36" s="24"/>
      <c r="BZ36" s="24"/>
      <c r="CA36" s="24"/>
    </row>
    <row r="37" spans="1:86" ht="36" hidden="1" customHeight="1" x14ac:dyDescent="0.25">
      <c r="A37" s="11"/>
      <c r="B37" s="65" t="s">
        <v>66</v>
      </c>
      <c r="C37" s="158"/>
      <c r="D37" s="158"/>
      <c r="E37" s="166"/>
      <c r="F37" s="166"/>
      <c r="G37" s="166"/>
      <c r="H37" s="24"/>
      <c r="I37" s="25"/>
      <c r="J37" s="24"/>
      <c r="K37" s="24"/>
      <c r="L37" s="24"/>
      <c r="M37" s="24"/>
      <c r="N37" s="24"/>
      <c r="O37" s="25"/>
      <c r="P37" s="24"/>
      <c r="Q37" s="24"/>
      <c r="R37" s="24"/>
      <c r="S37" s="24"/>
      <c r="T37" s="24"/>
      <c r="U37" s="25"/>
      <c r="V37" s="24"/>
      <c r="W37" s="24"/>
      <c r="X37" s="24"/>
      <c r="Y37" s="24"/>
      <c r="Z37" s="24"/>
      <c r="AA37" s="25"/>
      <c r="AB37" s="24"/>
      <c r="AC37" s="24"/>
      <c r="AD37" s="24"/>
      <c r="AE37" s="24"/>
      <c r="AF37" s="24"/>
      <c r="AG37" s="25"/>
      <c r="AH37" s="24"/>
      <c r="AI37" s="24"/>
      <c r="AJ37" s="24"/>
      <c r="AK37" s="24"/>
      <c r="AL37" s="24"/>
      <c r="AM37" s="25"/>
      <c r="AN37" s="24"/>
      <c r="AO37" s="24"/>
      <c r="AP37" s="24"/>
      <c r="AQ37" s="24"/>
      <c r="AR37" s="24"/>
      <c r="AS37" s="25"/>
      <c r="AT37" s="24"/>
      <c r="AU37" s="24"/>
      <c r="AV37" s="24"/>
      <c r="AW37" s="24"/>
      <c r="AX37" s="24"/>
      <c r="AY37" s="25"/>
      <c r="AZ37" s="24"/>
      <c r="BA37" s="24"/>
      <c r="BB37" s="24"/>
      <c r="BC37" s="24"/>
      <c r="BD37" s="24"/>
      <c r="BE37" s="25"/>
      <c r="BF37" s="24"/>
      <c r="BG37" s="24"/>
      <c r="BH37" s="24"/>
      <c r="BI37" s="24"/>
      <c r="BJ37" s="24"/>
      <c r="BK37" s="25"/>
      <c r="BL37" s="24"/>
      <c r="BM37" s="24"/>
      <c r="BN37" s="24"/>
      <c r="BO37" s="24"/>
      <c r="BP37" s="24"/>
      <c r="BQ37" s="25"/>
      <c r="BR37" s="24"/>
      <c r="BS37" s="24"/>
      <c r="BT37" s="24"/>
      <c r="BU37" s="24"/>
      <c r="BV37" s="24"/>
      <c r="BW37" s="25"/>
      <c r="BX37" s="24"/>
      <c r="BY37" s="24"/>
      <c r="BZ37" s="24"/>
      <c r="CA37" s="24"/>
      <c r="CB37" s="4"/>
      <c r="CC37" s="4"/>
      <c r="CD37" s="4"/>
      <c r="CE37" s="4"/>
      <c r="CF37" s="4"/>
      <c r="CG37" s="4"/>
    </row>
    <row r="38" spans="1:86" ht="50.25" customHeight="1" x14ac:dyDescent="0.25">
      <c r="A38" s="11"/>
      <c r="B38" s="159" t="s">
        <v>67</v>
      </c>
      <c r="C38" s="159"/>
      <c r="D38" s="159"/>
      <c r="E38" s="161" t="s">
        <v>68</v>
      </c>
      <c r="F38" s="161"/>
      <c r="G38" s="161"/>
      <c r="H38" s="161"/>
      <c r="I38" s="161"/>
      <c r="J38" s="161"/>
      <c r="K38" s="161"/>
      <c r="L38" s="161"/>
      <c r="M38" s="161"/>
      <c r="N38" s="161"/>
      <c r="O38" s="161"/>
      <c r="P38" s="161"/>
      <c r="Q38" s="161"/>
      <c r="R38" s="161"/>
      <c r="S38" s="161"/>
      <c r="T38" s="161"/>
      <c r="U38" s="161"/>
      <c r="V38" s="161"/>
      <c r="W38" s="161"/>
      <c r="X38" s="161"/>
      <c r="Y38" s="24"/>
      <c r="Z38" s="24"/>
      <c r="AA38" s="25"/>
      <c r="AB38" s="24"/>
      <c r="AC38" s="24"/>
      <c r="AD38" s="24"/>
      <c r="AE38" s="24"/>
      <c r="AF38" s="24"/>
      <c r="AG38" s="25"/>
      <c r="AH38" s="24"/>
      <c r="AI38" s="24"/>
      <c r="AJ38" s="24"/>
      <c r="AK38" s="24"/>
      <c r="AL38" s="24"/>
      <c r="AM38" s="25"/>
      <c r="AN38" s="24"/>
      <c r="AO38" s="24"/>
      <c r="AP38" s="24"/>
      <c r="AQ38" s="24"/>
      <c r="AR38" s="24"/>
      <c r="AS38" s="25"/>
      <c r="AT38" s="24"/>
      <c r="AU38" s="24"/>
      <c r="AV38" s="24"/>
      <c r="AW38" s="24"/>
      <c r="AX38" s="24"/>
      <c r="AY38" s="25"/>
      <c r="AZ38" s="24"/>
      <c r="BA38" s="24"/>
      <c r="BB38" s="24"/>
      <c r="BC38" s="24"/>
      <c r="BD38" s="24"/>
      <c r="BE38" s="25"/>
      <c r="BF38" s="24"/>
      <c r="BG38" s="24"/>
      <c r="BH38" s="24"/>
      <c r="BI38" s="24"/>
      <c r="BJ38" s="24"/>
      <c r="BK38" s="25"/>
      <c r="BL38" s="24"/>
      <c r="BM38" s="24"/>
      <c r="BN38" s="24"/>
      <c r="BO38" s="24"/>
      <c r="BP38" s="24"/>
      <c r="BQ38" s="25"/>
      <c r="BR38" s="24"/>
      <c r="BS38" s="24"/>
      <c r="BT38" s="24"/>
      <c r="BU38" s="24"/>
      <c r="BV38" s="24"/>
      <c r="BW38" s="25"/>
      <c r="BX38" s="24"/>
      <c r="BY38" s="24"/>
      <c r="BZ38" s="24"/>
      <c r="CA38" s="24"/>
      <c r="CB38" s="11"/>
      <c r="CC38" s="11"/>
      <c r="CD38" s="11"/>
      <c r="CE38" s="11"/>
      <c r="CF38" s="11"/>
      <c r="CG38" s="11"/>
    </row>
    <row r="39" spans="1:86" ht="45" customHeight="1" x14ac:dyDescent="0.25">
      <c r="A39" s="29"/>
      <c r="B39" s="162" t="s">
        <v>69</v>
      </c>
      <c r="C39" s="163"/>
      <c r="D39" s="164"/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W39" s="161"/>
      <c r="X39" s="161"/>
      <c r="Y39" s="24"/>
      <c r="Z39" s="24"/>
      <c r="AA39" s="25"/>
      <c r="AB39" s="24"/>
      <c r="AC39" s="24"/>
      <c r="AD39" s="24"/>
      <c r="AE39" s="24"/>
      <c r="AF39" s="24"/>
      <c r="AG39" s="25"/>
      <c r="AH39" s="24"/>
      <c r="AI39" s="24"/>
      <c r="AJ39" s="24"/>
      <c r="AK39" s="24"/>
      <c r="AL39" s="24"/>
      <c r="AM39" s="25"/>
      <c r="AN39" s="24"/>
      <c r="AO39" s="24"/>
      <c r="AP39" s="24"/>
      <c r="AQ39" s="24"/>
      <c r="AR39" s="24"/>
      <c r="AS39" s="25"/>
      <c r="AT39" s="24"/>
      <c r="AU39" s="24"/>
      <c r="AV39" s="24"/>
      <c r="AW39" s="24"/>
      <c r="AX39" s="24"/>
      <c r="AY39" s="25"/>
      <c r="AZ39" s="24"/>
      <c r="BA39" s="24"/>
      <c r="BB39" s="24"/>
      <c r="BC39" s="24"/>
      <c r="BD39" s="24"/>
      <c r="BE39" s="25"/>
      <c r="BF39" s="24"/>
      <c r="BG39" s="24"/>
      <c r="BH39" s="24"/>
      <c r="BI39" s="24"/>
      <c r="BJ39" s="24"/>
      <c r="BK39" s="25"/>
      <c r="BL39" s="24"/>
      <c r="BM39" s="24"/>
      <c r="BN39" s="24"/>
      <c r="BO39" s="24"/>
      <c r="BP39" s="24"/>
      <c r="BQ39" s="25"/>
      <c r="BR39" s="24"/>
      <c r="BS39" s="24"/>
      <c r="BT39" s="24"/>
      <c r="BU39" s="24"/>
      <c r="BV39" s="24"/>
      <c r="BW39" s="25"/>
      <c r="BX39" s="24"/>
      <c r="BY39" s="24"/>
      <c r="BZ39" s="24"/>
      <c r="CA39" s="24"/>
    </row>
    <row r="40" spans="1:86" ht="23.25" customHeight="1" x14ac:dyDescent="0.25">
      <c r="A40" s="11" t="s">
        <v>70</v>
      </c>
      <c r="B40" s="109"/>
      <c r="C40" s="109"/>
      <c r="D40" s="109"/>
      <c r="E40" s="110"/>
      <c r="F40" s="110"/>
      <c r="G40" s="110"/>
      <c r="H40" s="24"/>
      <c r="I40" s="25"/>
      <c r="J40" s="24"/>
      <c r="K40" s="24"/>
      <c r="L40" s="24"/>
      <c r="M40" s="24"/>
      <c r="N40" s="24"/>
      <c r="O40" s="25"/>
      <c r="P40" s="24"/>
      <c r="Q40" s="24"/>
      <c r="R40" s="24"/>
      <c r="S40" s="24"/>
      <c r="T40" s="24"/>
      <c r="U40" s="25"/>
      <c r="V40" s="24"/>
      <c r="W40" s="24"/>
      <c r="X40" s="24"/>
      <c r="Y40" s="24"/>
      <c r="Z40" s="24"/>
      <c r="AA40" s="25"/>
      <c r="AB40" s="24"/>
      <c r="AC40" s="24"/>
      <c r="AD40" s="24"/>
      <c r="AE40" s="24"/>
      <c r="AF40" s="24"/>
      <c r="AG40" s="25"/>
      <c r="AH40" s="24"/>
      <c r="AI40" s="24"/>
      <c r="AJ40" s="24"/>
      <c r="AK40" s="24"/>
      <c r="AL40" s="24"/>
      <c r="AM40" s="25"/>
      <c r="AN40" s="24"/>
      <c r="AO40" s="24"/>
      <c r="AP40" s="24"/>
      <c r="AQ40" s="24"/>
      <c r="AR40" s="24"/>
      <c r="AS40" s="25"/>
      <c r="AT40" s="24"/>
      <c r="AU40" s="24"/>
      <c r="AV40" s="24"/>
      <c r="AW40" s="24"/>
      <c r="AX40" s="24"/>
      <c r="AY40" s="25"/>
      <c r="AZ40" s="24"/>
      <c r="BA40" s="24"/>
      <c r="BB40" s="24"/>
      <c r="BC40" s="24"/>
      <c r="BD40" s="24"/>
      <c r="BE40" s="25"/>
      <c r="BF40" s="24"/>
      <c r="BG40" s="24"/>
      <c r="BH40" s="24"/>
      <c r="BI40" s="24"/>
      <c r="BJ40" s="24"/>
      <c r="BK40" s="25"/>
      <c r="BL40" s="24"/>
      <c r="BM40" s="24"/>
      <c r="BN40" s="24"/>
      <c r="BO40" s="24"/>
      <c r="BP40" s="24"/>
      <c r="BQ40" s="25"/>
      <c r="BR40" s="24"/>
      <c r="BS40" s="24"/>
      <c r="BT40" s="24"/>
      <c r="BU40" s="24"/>
      <c r="BV40" s="24"/>
      <c r="BW40" s="25"/>
      <c r="BX40" s="24"/>
      <c r="BY40" s="24"/>
      <c r="BZ40" s="24"/>
      <c r="CA40" s="24"/>
    </row>
    <row r="41" spans="1:86" ht="35.4" customHeight="1" x14ac:dyDescent="0.25">
      <c r="A41" s="11"/>
      <c r="B41" s="159" t="s">
        <v>71</v>
      </c>
      <c r="C41" s="159"/>
      <c r="D41" s="159"/>
      <c r="E41" s="161" t="s">
        <v>72</v>
      </c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1"/>
      <c r="Z41" s="11"/>
      <c r="AA41" s="25"/>
      <c r="AB41" s="11"/>
      <c r="AC41" s="11"/>
      <c r="AD41" s="11"/>
      <c r="AE41" s="11"/>
      <c r="AF41" s="11"/>
      <c r="AG41" s="25"/>
      <c r="AH41" s="11"/>
      <c r="AI41" s="11"/>
      <c r="AJ41" s="11"/>
      <c r="AK41" s="11"/>
      <c r="AL41" s="11"/>
      <c r="AM41" s="25"/>
      <c r="AN41" s="11"/>
      <c r="AO41" s="11"/>
      <c r="AP41" s="11"/>
      <c r="AQ41" s="11"/>
      <c r="AR41" s="11"/>
      <c r="AS41" s="25"/>
      <c r="AT41" s="11"/>
      <c r="AU41" s="11"/>
      <c r="AV41" s="11"/>
      <c r="AW41" s="11"/>
      <c r="AX41" s="11"/>
      <c r="AY41" s="25"/>
      <c r="AZ41" s="11"/>
      <c r="BA41" s="11"/>
      <c r="BB41" s="11"/>
      <c r="BC41" s="11"/>
      <c r="BD41" s="11"/>
      <c r="BE41" s="25"/>
      <c r="BF41" s="11"/>
      <c r="BG41" s="11"/>
      <c r="BH41" s="11"/>
      <c r="BI41" s="11"/>
      <c r="BJ41" s="11"/>
      <c r="BK41" s="25"/>
      <c r="BL41" s="11"/>
      <c r="BM41" s="11"/>
      <c r="BN41" s="11"/>
      <c r="BO41" s="11"/>
      <c r="BP41" s="11"/>
      <c r="BQ41" s="25"/>
      <c r="BR41" s="11"/>
      <c r="BS41" s="11"/>
      <c r="BT41" s="11"/>
      <c r="BU41" s="11"/>
      <c r="BV41" s="11"/>
      <c r="BW41" s="25"/>
      <c r="BX41" s="11"/>
      <c r="BY41" s="11"/>
      <c r="BZ41" s="11"/>
      <c r="CA41" s="11"/>
    </row>
    <row r="42" spans="1:86" ht="56.25" hidden="1" customHeight="1" x14ac:dyDescent="0.25">
      <c r="A42" s="11"/>
      <c r="B42" s="160" t="s">
        <v>73</v>
      </c>
      <c r="C42" s="160" t="str">
        <f>IF(D10&lt;'Data chung'!F6,"-","Nho Quế 1")</f>
        <v>-</v>
      </c>
      <c r="D42" s="160"/>
      <c r="E42" s="160" t="str">
        <f>IF(C11&lt;'Data chung'!F7,"-","Nho Quế 2")</f>
        <v>-</v>
      </c>
      <c r="F42" s="160"/>
      <c r="G42" s="160"/>
      <c r="H42" s="111"/>
      <c r="I42" s="111"/>
      <c r="J42" s="111"/>
      <c r="K42" s="111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</row>
    <row r="43" spans="1:86" ht="47.25" hidden="1" customHeight="1" x14ac:dyDescent="0.25">
      <c r="A43" s="11">
        <v>4</v>
      </c>
      <c r="B43" s="158"/>
      <c r="C43" s="158" t="s">
        <v>74</v>
      </c>
      <c r="D43" s="158"/>
      <c r="E43" s="158"/>
      <c r="F43" s="158"/>
      <c r="G43" s="158"/>
      <c r="H43" s="32"/>
      <c r="I43" s="82"/>
      <c r="J43" s="32"/>
      <c r="K43" s="32"/>
      <c r="L43" s="11"/>
      <c r="M43" s="11"/>
      <c r="N43" s="11"/>
      <c r="O43" s="25"/>
      <c r="P43" s="11"/>
      <c r="Q43" s="11"/>
      <c r="R43" s="11"/>
      <c r="S43" s="11"/>
      <c r="T43" s="11"/>
      <c r="U43" s="25"/>
      <c r="V43" s="11"/>
      <c r="W43" s="11"/>
      <c r="X43" s="11"/>
      <c r="Y43" s="11"/>
      <c r="Z43" s="11"/>
      <c r="AA43" s="25"/>
      <c r="AB43" s="11"/>
      <c r="AC43" s="11"/>
      <c r="AD43" s="11"/>
      <c r="AE43" s="11"/>
      <c r="AF43" s="11"/>
      <c r="AG43" s="25"/>
      <c r="AH43" s="11"/>
      <c r="AI43" s="11"/>
      <c r="AJ43" s="11"/>
      <c r="AK43" s="11"/>
      <c r="AL43" s="11"/>
      <c r="AM43" s="25"/>
      <c r="AN43" s="11"/>
      <c r="AO43" s="11"/>
      <c r="AP43" s="11"/>
      <c r="AQ43" s="11"/>
      <c r="AR43" s="11"/>
      <c r="AS43" s="25"/>
      <c r="AT43" s="11"/>
      <c r="AU43" s="11"/>
      <c r="AV43" s="11"/>
      <c r="AW43" s="11"/>
      <c r="AX43" s="11"/>
      <c r="AY43" s="25"/>
      <c r="AZ43" s="11"/>
      <c r="BA43" s="11"/>
      <c r="BB43" s="11"/>
      <c r="BC43" s="11"/>
      <c r="BD43" s="11"/>
      <c r="BE43" s="25"/>
      <c r="BF43" s="11"/>
      <c r="BG43" s="11"/>
      <c r="BH43" s="11"/>
      <c r="BI43" s="11"/>
      <c r="BJ43" s="11"/>
      <c r="BK43" s="25"/>
      <c r="BL43" s="11"/>
      <c r="BM43" s="11"/>
      <c r="BN43" s="11"/>
      <c r="BO43" s="11"/>
      <c r="BP43" s="11"/>
      <c r="BQ43" s="25"/>
      <c r="BR43" s="11"/>
      <c r="BS43" s="11"/>
      <c r="BT43" s="11"/>
      <c r="BU43" s="11"/>
      <c r="BV43" s="11"/>
      <c r="BW43" s="25"/>
      <c r="BX43" s="11"/>
      <c r="BY43" s="11"/>
      <c r="BZ43" s="11"/>
      <c r="CA43" s="11"/>
      <c r="CB43" s="53"/>
      <c r="CC43" s="53"/>
      <c r="CD43" s="53"/>
      <c r="CE43" s="53"/>
      <c r="CF43" s="53"/>
      <c r="CG43" s="53"/>
    </row>
    <row r="44" spans="1:86" s="31" customFormat="1" ht="21.75" hidden="1" customHeight="1" x14ac:dyDescent="0.25">
      <c r="A44" s="11"/>
      <c r="B44" s="158"/>
      <c r="C44" s="158" t="str">
        <f>IF(D15&gt;C15,"Bá Thước 1","-")</f>
        <v>-</v>
      </c>
      <c r="D44" s="158"/>
      <c r="E44" s="81" t="str">
        <f xml:space="preserve"> IF(D26&lt;C26,"-","3A")&amp;"&amp;"&amp;IF(D27&lt;=C27,"-","3B")</f>
        <v>-&amp;-</v>
      </c>
      <c r="F44" s="81"/>
      <c r="G44" s="81"/>
      <c r="H44" s="81"/>
      <c r="I44" s="81"/>
      <c r="J44" s="81"/>
      <c r="K44" s="81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2"/>
      <c r="CC44" s="2"/>
      <c r="CD44" s="2"/>
      <c r="CE44" s="2"/>
      <c r="CF44" s="2"/>
      <c r="CG44" s="2"/>
      <c r="CH44" s="41"/>
    </row>
    <row r="45" spans="1:86" s="31" customFormat="1" x14ac:dyDescent="0.25">
      <c r="CH45" s="41"/>
    </row>
    <row r="46" spans="1:86" s="31" customFormat="1" x14ac:dyDescent="0.25">
      <c r="CH46" s="41"/>
    </row>
    <row r="47" spans="1:86" s="31" customFormat="1" x14ac:dyDescent="0.25">
      <c r="CH47" s="41"/>
    </row>
    <row r="48" spans="1:86" s="31" customFormat="1" x14ac:dyDescent="0.25">
      <c r="CH48" s="41"/>
    </row>
    <row r="49" spans="86:86" s="31" customFormat="1" x14ac:dyDescent="0.25">
      <c r="CH49" s="41"/>
    </row>
    <row r="50" spans="86:86" s="31" customFormat="1" x14ac:dyDescent="0.25">
      <c r="CH50" s="41"/>
    </row>
    <row r="51" spans="86:86" s="31" customFormat="1" x14ac:dyDescent="0.25">
      <c r="CH51" s="41"/>
    </row>
    <row r="52" spans="86:86" s="31" customFormat="1" x14ac:dyDescent="0.25">
      <c r="CH52" s="41"/>
    </row>
    <row r="53" spans="86:86" s="31" customFormat="1" x14ac:dyDescent="0.25">
      <c r="CH53" s="41"/>
    </row>
    <row r="54" spans="86:86" s="31" customFormat="1" x14ac:dyDescent="0.25">
      <c r="CH54" s="41"/>
    </row>
    <row r="55" spans="86:86" s="31" customFormat="1" x14ac:dyDescent="0.25">
      <c r="CH55" s="41"/>
    </row>
    <row r="56" spans="86:86" s="31" customFormat="1" x14ac:dyDescent="0.25">
      <c r="CH56" s="41"/>
    </row>
    <row r="57" spans="86:86" s="31" customFormat="1" x14ac:dyDescent="0.25">
      <c r="CH57" s="41"/>
    </row>
    <row r="58" spans="86:86" s="31" customFormat="1" x14ac:dyDescent="0.25">
      <c r="CH58" s="41"/>
    </row>
    <row r="59" spans="86:86" s="31" customFormat="1" x14ac:dyDescent="0.25">
      <c r="CH59" s="41"/>
    </row>
    <row r="60" spans="86:86" s="31" customFormat="1" x14ac:dyDescent="0.25">
      <c r="CH60" s="41"/>
    </row>
    <row r="61" spans="86:86" s="31" customFormat="1" x14ac:dyDescent="0.25">
      <c r="CH61" s="41"/>
    </row>
    <row r="62" spans="86:86" s="31" customFormat="1" x14ac:dyDescent="0.25">
      <c r="CH62" s="41"/>
    </row>
    <row r="63" spans="86:86" s="31" customFormat="1" x14ac:dyDescent="0.25">
      <c r="CH63" s="41"/>
    </row>
    <row r="64" spans="86:86" s="31" customFormat="1" x14ac:dyDescent="0.25">
      <c r="CH64" s="41"/>
    </row>
    <row r="65" spans="86:86" s="31" customFormat="1" x14ac:dyDescent="0.25">
      <c r="CH65" s="41"/>
    </row>
    <row r="66" spans="86:86" s="31" customFormat="1" x14ac:dyDescent="0.25">
      <c r="CH66" s="41"/>
    </row>
    <row r="67" spans="86:86" s="31" customFormat="1" x14ac:dyDescent="0.25">
      <c r="CH67" s="41"/>
    </row>
    <row r="68" spans="86:86" s="31" customFormat="1" x14ac:dyDescent="0.25">
      <c r="CH68" s="41"/>
    </row>
    <row r="69" spans="86:86" s="31" customFormat="1" x14ac:dyDescent="0.25">
      <c r="CH69" s="41"/>
    </row>
    <row r="70" spans="86:86" s="31" customFormat="1" x14ac:dyDescent="0.25">
      <c r="CH70" s="41"/>
    </row>
    <row r="71" spans="86:86" s="31" customFormat="1" x14ac:dyDescent="0.25">
      <c r="CH71" s="41"/>
    </row>
    <row r="72" spans="86:86" s="31" customFormat="1" x14ac:dyDescent="0.25">
      <c r="CH72" s="41"/>
    </row>
    <row r="73" spans="86:86" s="31" customFormat="1" x14ac:dyDescent="0.25">
      <c r="CH73" s="41"/>
    </row>
    <row r="74" spans="86:86" s="31" customFormat="1" x14ac:dyDescent="0.25">
      <c r="CH74" s="41"/>
    </row>
    <row r="75" spans="86:86" s="31" customFormat="1" x14ac:dyDescent="0.25">
      <c r="CH75" s="41"/>
    </row>
    <row r="76" spans="86:86" s="31" customFormat="1" x14ac:dyDescent="0.25">
      <c r="CH76" s="41"/>
    </row>
    <row r="77" spans="86:86" s="31" customFormat="1" x14ac:dyDescent="0.25">
      <c r="CH77" s="41"/>
    </row>
    <row r="78" spans="86:86" s="31" customFormat="1" x14ac:dyDescent="0.25">
      <c r="CH78" s="41"/>
    </row>
    <row r="79" spans="86:86" s="31" customFormat="1" x14ac:dyDescent="0.25">
      <c r="CH79" s="41"/>
    </row>
    <row r="80" spans="86:86" s="31" customFormat="1" x14ac:dyDescent="0.25">
      <c r="CH80" s="41"/>
    </row>
    <row r="81" spans="86:86" s="31" customFormat="1" x14ac:dyDescent="0.25">
      <c r="CH81" s="41"/>
    </row>
    <row r="82" spans="86:86" s="31" customFormat="1" x14ac:dyDescent="0.25">
      <c r="CH82" s="41"/>
    </row>
    <row r="83" spans="86:86" s="31" customFormat="1" x14ac:dyDescent="0.25">
      <c r="CH83" s="41"/>
    </row>
    <row r="84" spans="86:86" s="31" customFormat="1" x14ac:dyDescent="0.25">
      <c r="CH84" s="41"/>
    </row>
    <row r="85" spans="86:86" s="31" customFormat="1" x14ac:dyDescent="0.25">
      <c r="CH85" s="41"/>
    </row>
    <row r="86" spans="86:86" s="31" customFormat="1" x14ac:dyDescent="0.25">
      <c r="CH86" s="41"/>
    </row>
    <row r="87" spans="86:86" s="31" customFormat="1" x14ac:dyDescent="0.25">
      <c r="CH87" s="41"/>
    </row>
    <row r="88" spans="86:86" s="31" customFormat="1" x14ac:dyDescent="0.25">
      <c r="CH88" s="41"/>
    </row>
    <row r="89" spans="86:86" s="31" customFormat="1" x14ac:dyDescent="0.25">
      <c r="CH89" s="41"/>
    </row>
    <row r="90" spans="86:86" s="31" customFormat="1" x14ac:dyDescent="0.25">
      <c r="CH90" s="41"/>
    </row>
    <row r="91" spans="86:86" s="31" customFormat="1" x14ac:dyDescent="0.25">
      <c r="CH91" s="41"/>
    </row>
    <row r="92" spans="86:86" s="31" customFormat="1" x14ac:dyDescent="0.25">
      <c r="CH92" s="41"/>
    </row>
    <row r="93" spans="86:86" s="31" customFormat="1" x14ac:dyDescent="0.25">
      <c r="CH93" s="41"/>
    </row>
    <row r="94" spans="86:86" s="31" customFormat="1" x14ac:dyDescent="0.25">
      <c r="CH94" s="41"/>
    </row>
    <row r="95" spans="86:86" s="31" customFormat="1" x14ac:dyDescent="0.25">
      <c r="CH95" s="41"/>
    </row>
    <row r="96" spans="86:86" s="31" customFormat="1" x14ac:dyDescent="0.25">
      <c r="CH96" s="41"/>
    </row>
    <row r="97" spans="86:86" s="31" customFormat="1" x14ac:dyDescent="0.25">
      <c r="CH97" s="41"/>
    </row>
    <row r="98" spans="86:86" s="31" customFormat="1" x14ac:dyDescent="0.25">
      <c r="CH98" s="41"/>
    </row>
    <row r="99" spans="86:86" s="31" customFormat="1" x14ac:dyDescent="0.25">
      <c r="CH99" s="41"/>
    </row>
    <row r="100" spans="86:86" s="31" customFormat="1" x14ac:dyDescent="0.25">
      <c r="CH100" s="41"/>
    </row>
    <row r="101" spans="86:86" s="31" customFormat="1" x14ac:dyDescent="0.25">
      <c r="CH101" s="41"/>
    </row>
    <row r="102" spans="86:86" s="31" customFormat="1" x14ac:dyDescent="0.25">
      <c r="CH102" s="41"/>
    </row>
  </sheetData>
  <mergeCells count="64">
    <mergeCell ref="A3:CG3"/>
    <mergeCell ref="G4:H4"/>
    <mergeCell ref="A6:A8"/>
    <mergeCell ref="B6:B8"/>
    <mergeCell ref="H6:M6"/>
    <mergeCell ref="H7:J7"/>
    <mergeCell ref="K7:M7"/>
    <mergeCell ref="AX6:BC6"/>
    <mergeCell ref="AX7:AZ7"/>
    <mergeCell ref="BA7:BC7"/>
    <mergeCell ref="AR6:AW6"/>
    <mergeCell ref="AR7:AT7"/>
    <mergeCell ref="AU7:AW7"/>
    <mergeCell ref="AL6:AQ6"/>
    <mergeCell ref="AL7:AN7"/>
    <mergeCell ref="T6:Y6"/>
    <mergeCell ref="B39:D39"/>
    <mergeCell ref="B35:D35"/>
    <mergeCell ref="C37:G37"/>
    <mergeCell ref="B38:D38"/>
    <mergeCell ref="E35:X35"/>
    <mergeCell ref="E38:X38"/>
    <mergeCell ref="E39:X39"/>
    <mergeCell ref="C44:D44"/>
    <mergeCell ref="B41:D41"/>
    <mergeCell ref="B42:B44"/>
    <mergeCell ref="C42:D42"/>
    <mergeCell ref="E42:G42"/>
    <mergeCell ref="C43:G43"/>
    <mergeCell ref="E41:X41"/>
    <mergeCell ref="AO7:AQ7"/>
    <mergeCell ref="AF6:AK6"/>
    <mergeCell ref="AF7:AH7"/>
    <mergeCell ref="AI7:AK7"/>
    <mergeCell ref="Z6:AE6"/>
    <mergeCell ref="Z7:AB7"/>
    <mergeCell ref="AC7:AE7"/>
    <mergeCell ref="BJ7:BL7"/>
    <mergeCell ref="BM7:BO7"/>
    <mergeCell ref="BD6:BI6"/>
    <mergeCell ref="BD7:BF7"/>
    <mergeCell ref="BG7:BI7"/>
    <mergeCell ref="CB6:CG6"/>
    <mergeCell ref="CB7:CC7"/>
    <mergeCell ref="CD7:CE7"/>
    <mergeCell ref="CF7:CG7"/>
    <mergeCell ref="N6:S6"/>
    <mergeCell ref="N7:P7"/>
    <mergeCell ref="Q7:S7"/>
    <mergeCell ref="BV6:CA6"/>
    <mergeCell ref="BV7:BX7"/>
    <mergeCell ref="BY7:CA7"/>
    <mergeCell ref="BP6:BU6"/>
    <mergeCell ref="BP7:BR7"/>
    <mergeCell ref="BS7:BU7"/>
    <mergeCell ref="BJ6:BO6"/>
    <mergeCell ref="T7:V7"/>
    <mergeCell ref="W7:Y7"/>
    <mergeCell ref="B33:D33"/>
    <mergeCell ref="B34:D34"/>
    <mergeCell ref="C6:D7"/>
    <mergeCell ref="E6:G7"/>
    <mergeCell ref="E33:X33"/>
    <mergeCell ref="E34:X34"/>
  </mergeCells>
  <printOptions horizontalCentered="1"/>
  <pageMargins left="0.62992125984252001" right="0.23622047244094499" top="0.31496062992126" bottom="0.31496062992126" header="0.31496062992126" footer="0.31496062992126"/>
  <pageSetup paperSize="9" scale="68" fitToHeight="0" orientation="landscape" r:id="rId1"/>
  <rowBreaks count="1" manualBreakCount="1">
    <brk id="28" max="4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D0A06-94A8-4A35-A206-06AD6A0188B6}">
  <sheetPr codeName="Trang_tính1">
    <tabColor rgb="FF00B0F0"/>
  </sheetPr>
  <dimension ref="A2:L24"/>
  <sheetViews>
    <sheetView workbookViewId="0">
      <selection activeCell="E6" sqref="E6"/>
    </sheetView>
  </sheetViews>
  <sheetFormatPr defaultColWidth="8.88671875" defaultRowHeight="15.6" x14ac:dyDescent="0.3"/>
  <cols>
    <col min="1" max="1" width="14.6640625" style="5" customWidth="1"/>
    <col min="2" max="3" width="10.6640625" style="5" customWidth="1"/>
    <col min="4" max="4" width="8.44140625" style="5" customWidth="1"/>
    <col min="5" max="5" width="9.33203125" style="5" customWidth="1"/>
    <col min="6" max="6" width="9.88671875" style="5" customWidth="1"/>
    <col min="7" max="7" width="8.6640625" style="5" customWidth="1"/>
    <col min="8" max="8" width="10.5546875" style="5" customWidth="1"/>
    <col min="9" max="16384" width="8.88671875" style="5"/>
  </cols>
  <sheetData>
    <row r="2" spans="1:12" s="11" customFormat="1" x14ac:dyDescent="0.3">
      <c r="A2" s="4" t="s">
        <v>75</v>
      </c>
    </row>
    <row r="3" spans="1:12" s="11" customFormat="1" x14ac:dyDescent="0.3">
      <c r="A3" s="171" t="s">
        <v>76</v>
      </c>
      <c r="B3" s="173" t="s">
        <v>77</v>
      </c>
      <c r="C3" s="173"/>
      <c r="D3" s="173"/>
      <c r="E3" s="173"/>
      <c r="F3" s="173" t="s">
        <v>78</v>
      </c>
      <c r="G3" s="173"/>
      <c r="H3" s="173"/>
      <c r="I3" s="173"/>
      <c r="J3" s="173"/>
      <c r="K3" s="173"/>
      <c r="L3" s="173"/>
    </row>
    <row r="4" spans="1:12" x14ac:dyDescent="0.3">
      <c r="A4" s="172"/>
      <c r="B4" s="66" t="s">
        <v>79</v>
      </c>
      <c r="C4" s="66" t="s">
        <v>80</v>
      </c>
      <c r="D4" s="66" t="s">
        <v>81</v>
      </c>
      <c r="E4" s="66" t="s">
        <v>82</v>
      </c>
      <c r="F4" s="66" t="s">
        <v>83</v>
      </c>
      <c r="G4" s="66" t="s">
        <v>84</v>
      </c>
      <c r="H4" s="66" t="s">
        <v>85</v>
      </c>
      <c r="I4" s="66" t="s">
        <v>86</v>
      </c>
      <c r="J4" s="66" t="s">
        <v>87</v>
      </c>
      <c r="K4" s="66" t="s">
        <v>88</v>
      </c>
      <c r="L4" s="66" t="s">
        <v>89</v>
      </c>
    </row>
    <row r="5" spans="1:12" ht="18.600000000000001" x14ac:dyDescent="0.3">
      <c r="A5" s="34"/>
      <c r="B5" s="34" t="s">
        <v>90</v>
      </c>
      <c r="C5" s="34" t="s">
        <v>91</v>
      </c>
      <c r="D5" s="34" t="s">
        <v>91</v>
      </c>
      <c r="E5" s="34" t="s">
        <v>92</v>
      </c>
      <c r="F5" s="34" t="s">
        <v>93</v>
      </c>
      <c r="G5" s="34" t="s">
        <v>93</v>
      </c>
      <c r="H5" s="34" t="s">
        <v>94</v>
      </c>
      <c r="I5" s="34" t="s">
        <v>94</v>
      </c>
      <c r="J5" s="34" t="s">
        <v>95</v>
      </c>
      <c r="K5" s="34" t="s">
        <v>95</v>
      </c>
      <c r="L5" s="34" t="s">
        <v>95</v>
      </c>
    </row>
    <row r="6" spans="1:12" x14ac:dyDescent="0.3">
      <c r="A6" s="35" t="s">
        <v>36</v>
      </c>
      <c r="B6" s="77">
        <v>2</v>
      </c>
      <c r="C6" s="78">
        <v>32</v>
      </c>
      <c r="D6" s="78">
        <v>12</v>
      </c>
      <c r="E6" s="78">
        <v>129.09</v>
      </c>
      <c r="F6" s="78">
        <v>463</v>
      </c>
      <c r="G6" s="78">
        <v>461.2</v>
      </c>
      <c r="H6" s="78">
        <v>82.7</v>
      </c>
      <c r="I6" s="78">
        <v>122.3</v>
      </c>
      <c r="J6" s="78">
        <v>12.1</v>
      </c>
      <c r="K6" s="78">
        <v>1.49</v>
      </c>
      <c r="L6" s="78">
        <v>10.63</v>
      </c>
    </row>
    <row r="7" spans="1:12" s="11" customFormat="1" x14ac:dyDescent="0.3">
      <c r="A7" s="35" t="s">
        <v>37</v>
      </c>
      <c r="B7" s="15">
        <v>2</v>
      </c>
      <c r="C7" s="15">
        <v>48</v>
      </c>
      <c r="D7" s="15">
        <v>15</v>
      </c>
      <c r="E7" s="15">
        <v>207</v>
      </c>
      <c r="F7" s="15">
        <v>425</v>
      </c>
      <c r="G7" s="15">
        <v>422.4</v>
      </c>
      <c r="H7" s="15">
        <v>85</v>
      </c>
      <c r="I7" s="15">
        <v>100</v>
      </c>
      <c r="J7" s="15">
        <v>6.54</v>
      </c>
      <c r="K7" s="15">
        <v>1.66</v>
      </c>
      <c r="L7" s="15">
        <v>4.6500000000000004</v>
      </c>
    </row>
    <row r="8" spans="1:12" s="11" customFormat="1" x14ac:dyDescent="0.3">
      <c r="A8" s="35" t="s">
        <v>38</v>
      </c>
      <c r="B8" s="15">
        <v>2</v>
      </c>
      <c r="C8" s="15">
        <v>110</v>
      </c>
      <c r="D8" s="15">
        <v>30</v>
      </c>
      <c r="E8" s="15">
        <v>437.8</v>
      </c>
      <c r="F8" s="15">
        <v>360</v>
      </c>
      <c r="G8" s="15">
        <v>358</v>
      </c>
      <c r="H8" s="15">
        <v>85.6</v>
      </c>
      <c r="I8" s="15">
        <v>92.6</v>
      </c>
      <c r="J8" s="15">
        <v>2.1800000000000002</v>
      </c>
      <c r="K8" s="15">
        <v>0.78</v>
      </c>
      <c r="L8" s="15">
        <v>1.4</v>
      </c>
    </row>
    <row r="9" spans="1:12" s="11" customFormat="1" x14ac:dyDescent="0.3">
      <c r="A9" s="35" t="s">
        <v>39</v>
      </c>
      <c r="B9" s="15">
        <v>2</v>
      </c>
      <c r="C9" s="15">
        <v>44</v>
      </c>
      <c r="D9" s="15">
        <v>15</v>
      </c>
      <c r="E9" s="15">
        <v>176.3</v>
      </c>
      <c r="F9" s="15">
        <v>300</v>
      </c>
      <c r="G9" s="15">
        <v>298.5</v>
      </c>
      <c r="H9" s="15">
        <v>67.400000000000006</v>
      </c>
      <c r="I9" s="15">
        <v>104</v>
      </c>
      <c r="J9" s="15">
        <v>29.53</v>
      </c>
      <c r="K9" s="15">
        <v>1.95</v>
      </c>
      <c r="L9" s="15">
        <v>27.58</v>
      </c>
    </row>
    <row r="10" spans="1:12" x14ac:dyDescent="0.3">
      <c r="A10" s="36" t="s">
        <v>40</v>
      </c>
      <c r="B10" s="67">
        <v>3</v>
      </c>
      <c r="C10" s="68">
        <v>19</v>
      </c>
      <c r="D10" s="68">
        <v>11.09</v>
      </c>
      <c r="E10" s="68">
        <v>245.9</v>
      </c>
      <c r="F10" s="68">
        <v>230</v>
      </c>
      <c r="G10" s="68">
        <v>227</v>
      </c>
      <c r="H10" s="68">
        <v>45.7</v>
      </c>
      <c r="I10" s="68">
        <v>75</v>
      </c>
      <c r="J10" s="68">
        <v>5.09</v>
      </c>
      <c r="K10" s="68">
        <v>0.99</v>
      </c>
      <c r="L10" s="68">
        <v>4.0999999999999996</v>
      </c>
    </row>
    <row r="11" spans="1:12" x14ac:dyDescent="0.3">
      <c r="A11" s="36" t="s">
        <v>41</v>
      </c>
      <c r="B11" s="79">
        <v>4</v>
      </c>
      <c r="C11" s="79">
        <v>60</v>
      </c>
      <c r="D11" s="79">
        <v>3.1850000000000001</v>
      </c>
      <c r="E11" s="79">
        <v>216.04</v>
      </c>
      <c r="F11" s="79">
        <v>54</v>
      </c>
      <c r="G11" s="79">
        <v>53</v>
      </c>
      <c r="H11" s="79">
        <v>323</v>
      </c>
      <c r="I11" s="79">
        <v>746</v>
      </c>
      <c r="J11" s="79">
        <v>16.96</v>
      </c>
      <c r="K11" s="79">
        <v>3.26</v>
      </c>
      <c r="L11" s="79">
        <v>13.7</v>
      </c>
    </row>
    <row r="12" spans="1:12" x14ac:dyDescent="0.3">
      <c r="A12" s="36" t="s">
        <v>42</v>
      </c>
      <c r="B12" s="79">
        <v>4</v>
      </c>
      <c r="C12" s="79">
        <v>80</v>
      </c>
      <c r="D12" s="79">
        <v>3.18</v>
      </c>
      <c r="E12" s="79">
        <v>291.13</v>
      </c>
      <c r="F12" s="79">
        <v>41</v>
      </c>
      <c r="G12" s="79">
        <v>40</v>
      </c>
      <c r="H12" s="79">
        <v>337</v>
      </c>
      <c r="I12" s="79">
        <v>750</v>
      </c>
      <c r="J12" s="79">
        <v>44.18</v>
      </c>
      <c r="K12" s="79">
        <v>12.68</v>
      </c>
      <c r="L12" s="79">
        <v>31.5</v>
      </c>
    </row>
    <row r="13" spans="1:12" x14ac:dyDescent="0.3">
      <c r="A13" s="36" t="s">
        <v>43</v>
      </c>
      <c r="B13" s="79">
        <v>2</v>
      </c>
      <c r="C13" s="79">
        <v>44</v>
      </c>
      <c r="D13" s="79">
        <v>11</v>
      </c>
      <c r="E13" s="79">
        <v>181.65600000000001</v>
      </c>
      <c r="F13" s="79">
        <v>85</v>
      </c>
      <c r="G13" s="79">
        <v>53</v>
      </c>
      <c r="H13" s="79">
        <v>41.7</v>
      </c>
      <c r="I13" s="79">
        <v>72</v>
      </c>
      <c r="J13" s="79">
        <v>423.68</v>
      </c>
      <c r="K13" s="79">
        <v>344.39</v>
      </c>
      <c r="L13" s="79">
        <v>70</v>
      </c>
    </row>
    <row r="14" spans="1:12" x14ac:dyDescent="0.3">
      <c r="A14" s="36" t="s">
        <v>44</v>
      </c>
      <c r="B14" s="79">
        <v>6</v>
      </c>
      <c r="C14" s="79">
        <v>208</v>
      </c>
      <c r="D14" s="79"/>
      <c r="E14" s="79">
        <v>821.61</v>
      </c>
      <c r="F14" s="79">
        <v>258</v>
      </c>
      <c r="G14" s="79">
        <v>240</v>
      </c>
      <c r="H14" s="79"/>
      <c r="I14" s="79">
        <v>128</v>
      </c>
      <c r="J14" s="79"/>
      <c r="K14" s="79">
        <v>158.26</v>
      </c>
      <c r="L14" s="79"/>
    </row>
    <row r="15" spans="1:12" x14ac:dyDescent="0.3">
      <c r="A15" s="36" t="s">
        <v>45</v>
      </c>
      <c r="B15" s="79"/>
      <c r="C15" s="79">
        <v>49.975000000000001</v>
      </c>
      <c r="D15" s="79"/>
      <c r="E15" s="79">
        <v>80</v>
      </c>
      <c r="F15" s="79"/>
      <c r="G15" s="79"/>
      <c r="H15" s="79"/>
      <c r="I15" s="79"/>
      <c r="J15" s="79"/>
      <c r="K15" s="79"/>
      <c r="L15" s="79"/>
    </row>
    <row r="16" spans="1:12" x14ac:dyDescent="0.3">
      <c r="A16" s="36" t="s">
        <v>46</v>
      </c>
      <c r="B16" s="79">
        <v>2</v>
      </c>
      <c r="C16" s="79">
        <v>44</v>
      </c>
      <c r="D16" s="79">
        <v>15</v>
      </c>
      <c r="E16" s="79">
        <v>156.30000000000001</v>
      </c>
      <c r="F16" s="79">
        <v>345</v>
      </c>
      <c r="G16" s="79">
        <v>343.5</v>
      </c>
      <c r="H16" s="79">
        <v>58.9</v>
      </c>
      <c r="I16" s="79">
        <v>124.05</v>
      </c>
      <c r="J16" s="79"/>
      <c r="K16" s="79">
        <v>2.59</v>
      </c>
      <c r="L16" s="79"/>
    </row>
    <row r="17" spans="1:12" x14ac:dyDescent="0.3">
      <c r="A17" s="36" t="s">
        <v>50</v>
      </c>
      <c r="B17" s="79">
        <v>2</v>
      </c>
      <c r="C17" s="79">
        <v>11</v>
      </c>
      <c r="D17" s="79">
        <v>3</v>
      </c>
      <c r="E17" s="79">
        <v>84</v>
      </c>
      <c r="F17" s="79">
        <v>45</v>
      </c>
      <c r="G17" s="79">
        <v>23</v>
      </c>
      <c r="H17" s="79"/>
      <c r="I17" s="79">
        <v>82</v>
      </c>
      <c r="J17" s="79"/>
      <c r="K17" s="79"/>
      <c r="L17" s="79"/>
    </row>
    <row r="18" spans="1:12" x14ac:dyDescent="0.3">
      <c r="A18" s="36" t="s">
        <v>51</v>
      </c>
      <c r="B18" s="79">
        <v>3</v>
      </c>
      <c r="C18" s="79">
        <v>24</v>
      </c>
      <c r="D18" s="79">
        <v>4</v>
      </c>
      <c r="E18" s="79">
        <v>93.7</v>
      </c>
      <c r="F18" s="79">
        <v>243</v>
      </c>
      <c r="G18" s="79">
        <v>242</v>
      </c>
      <c r="H18" s="79">
        <v>41.1</v>
      </c>
      <c r="I18" s="79">
        <v>72.599999999999994</v>
      </c>
      <c r="J18" s="79"/>
      <c r="K18" s="79">
        <v>5.2</v>
      </c>
      <c r="L18" s="79"/>
    </row>
    <row r="19" spans="1:12" x14ac:dyDescent="0.3">
      <c r="A19" s="36" t="s">
        <v>52</v>
      </c>
      <c r="B19" s="79">
        <v>3</v>
      </c>
      <c r="C19" s="79">
        <v>18</v>
      </c>
      <c r="D19" s="79">
        <v>3</v>
      </c>
      <c r="E19" s="79">
        <v>58.8</v>
      </c>
      <c r="F19" s="79">
        <v>202</v>
      </c>
      <c r="G19" s="79">
        <v>201</v>
      </c>
      <c r="H19" s="79">
        <v>69.099999999999994</v>
      </c>
      <c r="I19" s="79">
        <v>98</v>
      </c>
      <c r="J19" s="79"/>
      <c r="K19" s="79">
        <v>0.108</v>
      </c>
      <c r="L19" s="79"/>
    </row>
    <row r="20" spans="1:12" x14ac:dyDescent="0.3">
      <c r="A20" s="36" t="s">
        <v>53</v>
      </c>
      <c r="B20" s="79">
        <v>3</v>
      </c>
      <c r="C20" s="79">
        <v>10.199999999999999</v>
      </c>
      <c r="D20" s="79">
        <v>2</v>
      </c>
      <c r="E20" s="79">
        <v>37.299999999999997</v>
      </c>
      <c r="F20" s="79">
        <v>146.5</v>
      </c>
      <c r="G20" s="79">
        <v>145.5</v>
      </c>
      <c r="H20" s="79">
        <v>80.7</v>
      </c>
      <c r="I20" s="79">
        <v>151.5</v>
      </c>
      <c r="J20" s="79">
        <v>5.9</v>
      </c>
      <c r="K20" s="79">
        <v>2.0299999999999998</v>
      </c>
      <c r="L20" s="79">
        <v>3.87</v>
      </c>
    </row>
    <row r="21" spans="1:12" x14ac:dyDescent="0.3">
      <c r="A21" s="36" t="s">
        <v>54</v>
      </c>
      <c r="B21" s="79">
        <v>3</v>
      </c>
      <c r="C21" s="79">
        <v>18</v>
      </c>
      <c r="D21" s="79">
        <v>5</v>
      </c>
      <c r="E21" s="79">
        <v>75</v>
      </c>
      <c r="F21" s="79">
        <v>135</v>
      </c>
      <c r="G21" s="79">
        <v>133</v>
      </c>
      <c r="H21" s="79">
        <v>83.1</v>
      </c>
      <c r="I21" s="79">
        <v>153.84</v>
      </c>
      <c r="J21" s="79">
        <v>3.89</v>
      </c>
      <c r="K21" s="79">
        <v>1.65</v>
      </c>
      <c r="L21" s="79">
        <v>2.2400000000000002</v>
      </c>
    </row>
    <row r="22" spans="1:12" x14ac:dyDescent="0.3">
      <c r="A22" s="33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</row>
    <row r="23" spans="1:12" x14ac:dyDescent="0.3">
      <c r="A23" s="33"/>
    </row>
    <row r="24" spans="1:12" x14ac:dyDescent="0.3">
      <c r="A24" s="33"/>
    </row>
  </sheetData>
  <mergeCells count="3">
    <mergeCell ref="A3:A4"/>
    <mergeCell ref="B3:E3"/>
    <mergeCell ref="F3:L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</vt:i4>
      </vt:variant>
      <vt:variant>
        <vt:lpstr>Phạm vi Có tên</vt:lpstr>
      </vt:variant>
      <vt:variant>
        <vt:i4>2</vt:i4>
      </vt:variant>
    </vt:vector>
  </HeadingPairs>
  <TitlesOfParts>
    <vt:vector size="4" baseType="lpstr">
      <vt:lpstr>Data</vt:lpstr>
      <vt:lpstr>Data chung</vt:lpstr>
      <vt:lpstr>Data!Print_Titles</vt:lpstr>
      <vt:lpstr>Data!Vùng_In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 Hoang. Thanh</dc:creator>
  <cp:keywords/>
  <dc:description/>
  <cp:lastModifiedBy>Nguyen Hoang. Thanh</cp:lastModifiedBy>
  <cp:revision/>
  <dcterms:created xsi:type="dcterms:W3CDTF">2019-12-18T03:12:55Z</dcterms:created>
  <dcterms:modified xsi:type="dcterms:W3CDTF">2020-03-17T06:36:08Z</dcterms:modified>
  <cp:category/>
  <cp:contentStatus/>
</cp:coreProperties>
</file>